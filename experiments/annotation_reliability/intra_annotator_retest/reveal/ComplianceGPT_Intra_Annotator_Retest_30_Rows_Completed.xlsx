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enjia/Downloads/"/>
    </mc:Choice>
  </mc:AlternateContent>
  <xr:revisionPtr revIDLastSave="0" documentId="13_ncr:1_{680F93BE-AD15-6947-BB71-3BF89CA909FE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Protocol" sheetId="1" r:id="rId1"/>
    <sheet name="Relabe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<sst xmlns="http://schemas.openxmlformats.org/spreadsheetml/2006/main" count="147" uniqueCount="113">
  <si>
    <t>ComplianceGPT Intra Annotator Test Retest Protocol</t>
  </si>
  <si>
    <t>Thirty row blinded re labeling packet for assessing the stability of the original gold labels</t>
  </si>
  <si>
    <t>Purpose and interpretation</t>
  </si>
  <si>
    <t>This workbook supports an intra-annotator test-retest reliability check. The same annotator who created the original gold labels independently re-labels a blinded sample after a washout period. This procedure estimates label stability; it is not independent adjudication, external validation, or inter-annotator agreement.</t>
  </si>
  <si>
    <t>Blinding rules</t>
  </si>
  <si>
    <t>1</t>
  </si>
  <si>
    <t>Complete the relabeling without opening the original gold CSVs, prior labels, system outputs, ErrorBank records, result summaries, or scoring files.</t>
  </si>
  <si>
    <t>Protocol version</t>
  </si>
  <si>
    <t>1.0</t>
  </si>
  <si>
    <t>2</t>
  </si>
  <si>
    <t>Use only the question and the applicable canonical NIST SP 800-53 clause catalog. Do not inspect prior answer text or prior citations.</t>
  </si>
  <si>
    <t>Benchmark population</t>
  </si>
  <si>
    <t>136 rows</t>
  </si>
  <si>
    <t>3</t>
  </si>
  <si>
    <t>Enter one governing control, all expected canonical clause IDs, and all required ODP IDs. Use NONE when no ODP is required.</t>
  </si>
  <si>
    <t>Sample</t>
  </si>
  <si>
    <t>30 rows: 8 Revision 4 and 22 Revision 5</t>
  </si>
  <si>
    <t>4</t>
  </si>
  <si>
    <t>Do not change answers after revealing or comparing the original labels. Record uncertainty in Notes before freezing the workbook.</t>
  </si>
  <si>
    <t>Sampling method</t>
  </si>
  <si>
    <t>Deterministic SHA-256 ranking within revision, followed by deterministic shuffle</t>
  </si>
  <si>
    <t>5</t>
  </si>
  <si>
    <t>When all 30 rows show Complete, save the file once as the frozen second-label record. Do not edit it after scoring begins.</t>
  </si>
  <si>
    <t>Sample commitment SHA-256</t>
  </si>
  <si>
    <t>a6582b20ea6605395627dd0229981be6841ef76e55af022526ce773f71a686c0</t>
  </si>
  <si>
    <t>Packet date</t>
  </si>
  <si>
    <t>2026-10-02</t>
  </si>
  <si>
    <t>Required entry format</t>
  </si>
  <si>
    <t>Governing control</t>
  </si>
  <si>
    <t>Canonical control ID, for example AC-2 or IA-5(1). Enter one.</t>
  </si>
  <si>
    <t>Expected clause IDs</t>
  </si>
  <si>
    <t>Exact CCS clause IDs. Put one ID per line when more than one clause is required.</t>
  </si>
  <si>
    <t>Required ODP IDs</t>
  </si>
  <si>
    <t>Exact CCS ODP IDs, one per line. Enter NONE when the answer requires no ODP.</t>
  </si>
  <si>
    <t>Notes</t>
  </si>
  <si>
    <t>Optional. Record ambiguity or uncertainty before freezing the workbook.</t>
  </si>
  <si>
    <t>Session record</t>
  </si>
  <si>
    <t>Washout began</t>
  </si>
  <si>
    <t>Relabeling began</t>
  </si>
  <si>
    <t>Relabeling completed</t>
  </si>
  <si>
    <t>Reference materials used</t>
  </si>
  <si>
    <t>Canonical NIST SP 800-53 clause catalog only</t>
  </si>
  <si>
    <t>Canonical catalog locations</t>
  </si>
  <si>
    <t>Revision 4</t>
  </si>
  <si>
    <t>data/ccs/nist800-53/NIST_SP-800-53_rev4_catalog.jsonl</t>
  </si>
  <si>
    <t>Revision 5</t>
  </si>
  <si>
    <t>data/ccs/nist800-53/NIST_SP-800-53_rev5_catalog.jsonl</t>
  </si>
  <si>
    <t>Blinded Intra Annotator Re Labeling</t>
  </si>
  <si>
    <t>Complete columns D through F. Use exact canonical identifiers and enter NONE when no ODP is required.</t>
  </si>
  <si>
    <t>Blind ID</t>
  </si>
  <si>
    <t>NIST revision</t>
  </si>
  <si>
    <t>Question</t>
  </si>
  <si>
    <t>Status</t>
  </si>
  <si>
    <t>IR-001</t>
  </si>
  <si>
    <t>When should incident response training be provided, and how often should its content be reviewed and updated?</t>
  </si>
  <si>
    <t>IR-002</t>
  </si>
  <si>
    <t>What considerations must be incorporated into the enterprise architecture to address security, privacy, and risk?</t>
  </si>
  <si>
    <t>IR-003</t>
  </si>
  <si>
    <t>What elements must be included in the continuous monitoring strategy and program?</t>
  </si>
  <si>
    <t>IR-004</t>
  </si>
  <si>
    <t>What information must each audit record contain to support after-the-fact investigation of security incidents?</t>
  </si>
  <si>
    <t>IR-005</t>
  </si>
  <si>
    <t>How should cryptographic mechanisms be selected and implemented to comply with applicable laws, policies, and standards?</t>
  </si>
  <si>
    <t>IR-006</t>
  </si>
  <si>
    <t>What is the purpose of performing a criticality analysis, and when should it be conducted?</t>
  </si>
  <si>
    <t>IR-007</t>
  </si>
  <si>
    <t>When and how must individuals be screened before authorizing or maintaining access to organizational systems?</t>
  </si>
  <si>
    <t>IR-008</t>
  </si>
  <si>
    <t>What elements must be included in a supply-chain risk management plan, and how often should it be reviewed and protected from unauthorized disclosure?</t>
  </si>
  <si>
    <t>IR-009</t>
  </si>
  <si>
    <t>How frequently must contingency plans be tested, and what should be done after reviewing the test results?</t>
  </si>
  <si>
    <t>IR-010</t>
  </si>
  <si>
    <t>What does PS-3 require before authorizing access to the information system?</t>
  </si>
  <si>
    <t>IR-011</t>
  </si>
  <si>
    <t>What does MP-4 require for protecting information system media?</t>
  </si>
  <si>
    <t>IR-012</t>
  </si>
  <si>
    <t>When must account managers and the designated personnel be notified about user account changes?</t>
  </si>
  <si>
    <t>IR-013</t>
  </si>
  <si>
    <t>What requirements apply to marking system media with handling or distribution limitations, and when may media be exempt from marking?</t>
  </si>
  <si>
    <t>IR-014</t>
  </si>
  <si>
    <t>What information should organizations maintain and analyze when documenting and reviewing security incidents?</t>
  </si>
  <si>
    <t>IR-015</t>
  </si>
  <si>
    <t>How should organizations determine, document, and restrict the purposes and lawful basis for processing personally identifiable information?</t>
  </si>
  <si>
    <t>IR-016</t>
  </si>
  <si>
    <t>How are measures of performance used to evaluate the effectiveness of security and privacy programs?</t>
  </si>
  <si>
    <t>IR-017</t>
  </si>
  <si>
    <t>What security awareness training must the organization provide and when?</t>
  </si>
  <si>
    <t>IR-018</t>
  </si>
  <si>
    <t>What are the key considerations for a controlled system maintenance program?</t>
  </si>
  <si>
    <t>IR-019</t>
  </si>
  <si>
    <t>What steps are required to categorize a system and its information, and who must approve the decision?</t>
  </si>
  <si>
    <t>IR-020</t>
  </si>
  <si>
    <t>What identification and authentication requirement does IA-2 specify for organizational users?</t>
  </si>
  <si>
    <t>IR-021</t>
  </si>
  <si>
    <t>How should organizations obtain and manage individual consent for processing PII, and what factors should be considered when determining the appropriate consent mechanism?</t>
  </si>
  <si>
    <t>IR-022</t>
  </si>
  <si>
    <t>What is the purpose of a Concept of Operations, and how often should it be reviewed and updated?</t>
  </si>
  <si>
    <t>IR-023</t>
  </si>
  <si>
    <t>How should organizations approve, control, and periodically review the use of system maintenance tools?</t>
  </si>
  <si>
    <t>IR-024</t>
  </si>
  <si>
    <t>What is the guidance of control PL-2?</t>
  </si>
  <si>
    <t>IR-025</t>
  </si>
  <si>
    <t>What does MP-6 require for sanitizing media prior to disposal or release?</t>
  </si>
  <si>
    <t>IR-026</t>
  </si>
  <si>
    <t>Who serves as the senior agency information security officer, and what is their role within federal agencies?</t>
  </si>
  <si>
    <t>IR-027</t>
  </si>
  <si>
    <t>What must an organization enforce regarding logical access to its information and systems?</t>
  </si>
  <si>
    <t>IR-028</t>
  </si>
  <si>
    <t>What should be required from system developers regarding configuration management, approved changes, and flaw tracking?</t>
  </si>
  <si>
    <t>IR-029</t>
  </si>
  <si>
    <t>What processes are in place to securely create, distribute, protect, and revoke authenticators such as passwords, tokens, or certificates?</t>
  </si>
  <si>
    <t>IR-030</t>
  </si>
  <si>
    <t>Who must approve removing the system or components off-site for maintenance?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</si>
</sst>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1"/>
      <name val="Carlito"/>
    </font>
    <font>
      <b/>
      <sz val="16"/>
      <color rgb="FF000000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sz val="11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wrapText="1"/>
    </xf>
    <xf numFmtId="0" fontId="9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0" borderId="0" xfId="0" applyFont="1"/>
    <xf numFmtId="0" fontId="9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/>
    <xf numFmtId="164" fontId="10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abelingTable" displayName="RelabelingTable" ref="A5:H35" totalsRowShown="0">
  <tableColumns count="8">
    <tableColumn id="1" xr3:uid="{00000000-0010-0000-0000-000001000000}" name="Blind ID"/>
    <tableColumn id="2" xr3:uid="{00000000-0010-0000-0000-000002000000}" name="NIST revision"/>
    <tableColumn id="3" xr3:uid="{00000000-0010-0000-0000-000003000000}" name="Question"/>
    <tableColumn id="4" xr3:uid="{00000000-0010-0000-0000-000004000000}" name="Governing control"/>
    <tableColumn id="5" xr3:uid="{00000000-0010-0000-0000-000005000000}" name="Expected clause IDs"/>
    <tableColumn id="6" xr3:uid="{00000000-0010-0000-0000-000006000000}" name="Required ODP IDs"/>
    <tableColumn id="7" xr3:uid="{00000000-0010-0000-0000-000007000000}" name="Notes"/>
    <tableColumn id="8" xr3:uid="{00000000-0010-0000-00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8C8D"/>
  </sheetPr>
  <dimension ref="A1:F31"/>
  <sheetViews>
    <sheetView showGridLines="0" tabSelected="1" zoomScale="125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5"/>
  <cols>
    <col min="1" max="1" width="24" customWidth="1"/>
    <col min="2" max="2" width="70" customWidth="1"/>
    <col min="3" max="3" width="3" customWidth="1"/>
    <col min="4" max="4" width="25" customWidth="1"/>
    <col min="5" max="5" width="54" customWidth="1"/>
    <col min="6" max="6" width="3" customWidth="1"/>
  </cols>
  <sheetData>
    <row r="1" spans="1:6">
      <c r="A1" s="11"/>
      <c r="B1" s="11"/>
      <c r="C1" s="11"/>
      <c r="D1" s="11"/>
      <c r="E1" s="11"/>
      <c r="F1" s="11"/>
    </row>
    <row r="2" spans="1:6" ht="20">
      <c r="A2" s="16" t="s">
        <v>0</v>
      </c>
      <c r="B2" s="17"/>
      <c r="C2" s="17"/>
      <c r="D2" s="17"/>
      <c r="E2" s="17"/>
      <c r="F2" s="17"/>
    </row>
    <row r="3" spans="1:6">
      <c r="A3" s="18" t="s">
        <v>1</v>
      </c>
      <c r="B3" s="17"/>
      <c r="C3" s="17"/>
      <c r="D3" s="17"/>
      <c r="E3" s="17"/>
      <c r="F3" s="17"/>
    </row>
    <row r="4" spans="1:6">
      <c r="A4" s="11"/>
      <c r="B4" s="11"/>
      <c r="C4" s="11"/>
      <c r="D4" s="11"/>
      <c r="E4" s="11"/>
      <c r="F4" s="11"/>
    </row>
    <row r="5" spans="1:6">
      <c r="A5" s="19" t="s">
        <v>2</v>
      </c>
      <c r="B5" s="19"/>
      <c r="C5" s="19"/>
      <c r="D5" s="19"/>
      <c r="E5" s="19"/>
      <c r="F5" s="19"/>
    </row>
    <row r="6" spans="1:6" ht="23" customHeight="1">
      <c r="A6" s="20" t="s">
        <v>3</v>
      </c>
      <c r="B6" s="20"/>
      <c r="C6" s="20"/>
      <c r="D6" s="20"/>
      <c r="E6" s="20"/>
      <c r="F6" s="20"/>
    </row>
    <row r="7" spans="1:6" ht="23" customHeight="1">
      <c r="A7" s="20"/>
      <c r="B7" s="20"/>
      <c r="C7" s="20"/>
      <c r="D7" s="20"/>
      <c r="E7" s="20"/>
      <c r="F7" s="20"/>
    </row>
    <row r="8" spans="1:6" ht="23" customHeight="1">
      <c r="A8" s="20"/>
      <c r="B8" s="20"/>
      <c r="C8" s="20"/>
      <c r="D8" s="20"/>
      <c r="E8" s="20"/>
      <c r="F8" s="20"/>
    </row>
    <row r="9" spans="1:6">
      <c r="A9" s="11"/>
      <c r="B9" s="11"/>
      <c r="C9" s="11"/>
      <c r="D9" s="11"/>
      <c r="E9" s="11"/>
      <c r="F9" s="11"/>
    </row>
    <row r="10" spans="1:6">
      <c r="A10" s="19" t="s">
        <v>4</v>
      </c>
      <c r="B10" s="19"/>
      <c r="C10" s="19"/>
      <c r="D10" s="19"/>
      <c r="E10" s="19"/>
      <c r="F10" s="19"/>
    </row>
    <row r="11" spans="1:6" ht="24" customHeight="1">
      <c r="A11" s="2" t="s">
        <v>5</v>
      </c>
      <c r="B11" s="1" t="s">
        <v>6</v>
      </c>
      <c r="C11" s="11"/>
      <c r="D11" s="6" t="s">
        <v>7</v>
      </c>
      <c r="E11" s="5" t="s">
        <v>8</v>
      </c>
      <c r="F11" s="11"/>
    </row>
    <row r="12" spans="1:6" ht="24" customHeight="1">
      <c r="A12" s="2" t="s">
        <v>9</v>
      </c>
      <c r="B12" s="1" t="s">
        <v>10</v>
      </c>
      <c r="C12" s="11"/>
      <c r="D12" s="6" t="s">
        <v>11</v>
      </c>
      <c r="E12" s="5" t="s">
        <v>12</v>
      </c>
      <c r="F12" s="11"/>
    </row>
    <row r="13" spans="1:6" ht="24" customHeight="1">
      <c r="A13" s="2" t="s">
        <v>13</v>
      </c>
      <c r="B13" s="1" t="s">
        <v>14</v>
      </c>
      <c r="C13" s="11"/>
      <c r="D13" s="6" t="s">
        <v>15</v>
      </c>
      <c r="E13" s="5" t="s">
        <v>16</v>
      </c>
      <c r="F13" s="11"/>
    </row>
    <row r="14" spans="1:6" ht="24" customHeight="1">
      <c r="A14" s="2" t="s">
        <v>17</v>
      </c>
      <c r="B14" s="1" t="s">
        <v>18</v>
      </c>
      <c r="C14" s="11"/>
      <c r="D14" s="6" t="s">
        <v>19</v>
      </c>
      <c r="E14" s="5" t="s">
        <v>20</v>
      </c>
      <c r="F14" s="11"/>
    </row>
    <row r="15" spans="1:6" ht="24" customHeight="1">
      <c r="A15" s="2" t="s">
        <v>21</v>
      </c>
      <c r="B15" s="1" t="s">
        <v>22</v>
      </c>
      <c r="C15" s="11"/>
      <c r="D15" s="6" t="s">
        <v>23</v>
      </c>
      <c r="E15" s="5" t="s">
        <v>24</v>
      </c>
      <c r="F15" s="11"/>
    </row>
    <row r="16" spans="1:6">
      <c r="A16" s="11"/>
      <c r="B16" s="11"/>
      <c r="C16" s="11"/>
      <c r="D16" s="6" t="s">
        <v>25</v>
      </c>
      <c r="E16" s="5" t="s">
        <v>26</v>
      </c>
      <c r="F16" s="11"/>
    </row>
    <row r="17" spans="1:6">
      <c r="A17" s="19" t="s">
        <v>27</v>
      </c>
      <c r="B17" s="19"/>
      <c r="C17" s="19"/>
      <c r="D17" s="19"/>
      <c r="E17" s="19"/>
      <c r="F17" s="19"/>
    </row>
    <row r="18" spans="1:6" ht="15" customHeight="1">
      <c r="A18" s="3" t="s">
        <v>28</v>
      </c>
      <c r="B18" s="1" t="s">
        <v>29</v>
      </c>
      <c r="C18" s="11"/>
      <c r="D18" s="11"/>
      <c r="E18" s="11"/>
      <c r="F18" s="11"/>
    </row>
    <row r="19" spans="1:6" ht="15" customHeight="1">
      <c r="A19" s="3" t="s">
        <v>30</v>
      </c>
      <c r="B19" s="1" t="s">
        <v>31</v>
      </c>
      <c r="C19" s="11"/>
      <c r="D19" s="11"/>
      <c r="E19" s="11"/>
      <c r="F19" s="11"/>
    </row>
    <row r="20" spans="1:6" ht="15" customHeight="1">
      <c r="A20" s="3" t="s">
        <v>32</v>
      </c>
      <c r="B20" s="1" t="s">
        <v>33</v>
      </c>
      <c r="C20" s="11"/>
      <c r="D20" s="11"/>
      <c r="E20" s="11"/>
      <c r="F20" s="11"/>
    </row>
    <row r="21" spans="1:6" ht="15" customHeight="1">
      <c r="A21" s="3" t="s">
        <v>34</v>
      </c>
      <c r="B21" s="1" t="s">
        <v>35</v>
      </c>
      <c r="C21" s="11"/>
      <c r="D21" s="11"/>
      <c r="E21" s="11"/>
      <c r="F21" s="11"/>
    </row>
    <row r="22" spans="1:6">
      <c r="A22" s="11"/>
      <c r="B22" s="11"/>
      <c r="C22" s="11"/>
      <c r="D22" s="11"/>
      <c r="E22" s="11"/>
      <c r="F22" s="11"/>
    </row>
    <row r="23" spans="1:6">
      <c r="A23" s="19" t="s">
        <v>36</v>
      </c>
      <c r="B23" s="19"/>
      <c r="C23" s="19"/>
      <c r="D23" s="19"/>
      <c r="E23" s="19"/>
      <c r="F23" s="19"/>
    </row>
    <row r="24" spans="1:6">
      <c r="A24" s="8" t="s">
        <v>37</v>
      </c>
      <c r="B24" s="22">
        <v>46072</v>
      </c>
      <c r="C24" s="11"/>
      <c r="D24" s="11"/>
      <c r="E24" s="11"/>
      <c r="F24" s="11"/>
    </row>
    <row r="25" spans="1:6">
      <c r="A25" s="8" t="s">
        <v>38</v>
      </c>
      <c r="B25" s="9">
        <v>46297</v>
      </c>
      <c r="C25" s="11"/>
      <c r="D25" s="11"/>
      <c r="E25" s="11"/>
      <c r="F25" s="11"/>
    </row>
    <row r="26" spans="1:6">
      <c r="A26" s="8" t="s">
        <v>39</v>
      </c>
      <c r="B26" s="9"/>
      <c r="C26" s="11"/>
      <c r="D26" s="11"/>
      <c r="E26" s="11"/>
      <c r="F26" s="11"/>
    </row>
    <row r="27" spans="1:6">
      <c r="A27" s="8" t="s">
        <v>40</v>
      </c>
      <c r="B27" s="7" t="s">
        <v>41</v>
      </c>
      <c r="C27" s="11"/>
      <c r="D27" s="11"/>
      <c r="E27" s="11"/>
      <c r="F27" s="11"/>
    </row>
    <row r="28" spans="1:6">
      <c r="A28" s="11"/>
      <c r="B28" s="11"/>
      <c r="C28" s="11"/>
      <c r="D28" s="11"/>
      <c r="E28" s="11"/>
      <c r="F28" s="11"/>
    </row>
    <row r="29" spans="1:6">
      <c r="A29" s="19" t="s">
        <v>42</v>
      </c>
      <c r="B29" s="19"/>
      <c r="C29" s="19"/>
      <c r="D29" s="19"/>
      <c r="E29" s="19"/>
      <c r="F29" s="19"/>
    </row>
    <row r="30" spans="1:6">
      <c r="A30" s="10" t="s">
        <v>43</v>
      </c>
      <c r="B30" s="4" t="s">
        <v>44</v>
      </c>
      <c r="C30" s="11"/>
      <c r="D30" s="11"/>
      <c r="E30" s="11"/>
      <c r="F30" s="11"/>
    </row>
    <row r="31" spans="1:6">
      <c r="A31" s="10" t="s">
        <v>45</v>
      </c>
      <c r="B31" s="4" t="s">
        <v>46</v>
      </c>
      <c r="C31" s="11"/>
      <c r="D31" s="11"/>
      <c r="E31" s="11"/>
      <c r="F31" s="11"/>
    </row>
  </sheetData>
  <mergeCells count="8">
    <mergeCell ref="A17:F17"/>
    <mergeCell ref="A23:F23"/>
    <mergeCell ref="A29:F29"/>
    <mergeCell ref="A2:F2"/>
    <mergeCell ref="A3:F3"/>
    <mergeCell ref="A5:F5"/>
    <mergeCell ref="A6:F8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2:H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/>
  <cols>
    <col min="1" max="1" width="11" customWidth="1"/>
    <col min="2" max="2" width="14" customWidth="1"/>
    <col min="3" max="3" width="62" customWidth="1"/>
    <col min="4" max="4" width="18" customWidth="1"/>
    <col min="5" max="6" width="28" customWidth="1"/>
    <col min="7" max="7" width="32" customWidth="1"/>
    <col min="8" max="8" width="13" customWidth="1"/>
  </cols>
  <sheetData>
    <row r="2" spans="1:8" ht="20">
      <c r="A2" s="16" t="s">
        <v>47</v>
      </c>
      <c r="B2" s="21"/>
      <c r="C2" s="21"/>
      <c r="D2" s="21"/>
      <c r="E2" s="21"/>
      <c r="F2" s="21"/>
      <c r="G2" s="21"/>
      <c r="H2" s="21"/>
    </row>
    <row r="3" spans="1:8">
      <c r="A3" s="18" t="s">
        <v>48</v>
      </c>
      <c r="B3" s="21"/>
      <c r="C3" s="21"/>
      <c r="D3" s="21"/>
      <c r="E3" s="21"/>
      <c r="F3" s="21"/>
      <c r="G3" s="21"/>
      <c r="H3" s="21"/>
    </row>
    <row r="5" spans="1:8">
      <c r="A5" s="12" t="s">
        <v>49</v>
      </c>
      <c r="B5" s="12" t="s">
        <v>50</v>
      </c>
      <c r="C5" s="12" t="s">
        <v>51</v>
      </c>
      <c r="D5" s="12" t="s">
        <v>28</v>
      </c>
      <c r="E5" s="12" t="s">
        <v>30</v>
      </c>
      <c r="F5" s="12" t="s">
        <v>32</v>
      </c>
      <c r="G5" s="12" t="s">
        <v>34</v>
      </c>
      <c r="H5" s="12" t="s">
        <v>52</v>
      </c>
    </row>
    <row r="6" spans="1:8" ht="68" customHeight="1">
      <c r="A6" s="14" t="s">
        <v>53</v>
      </c>
      <c r="B6" s="14" t="s">
        <v>45</v>
      </c>
      <c r="C6" s="13" t="s">
        <v>54</v>
      </c>
      <c r="D6" s="15" t="str">
        <v>IR-2</v>
      </c>
      <c r="E6" s="15" t="str">
        <v>ir-2_smt.a.1
ir-2_smt.a.2
ir-2_smt.a.3
ir-2_smt.b</v>
      </c>
      <c r="F6" s="15" t="str">
        <v>ir-02_odp.01
ir-02_odp.02
ir-02_odp.03
ir-02_odp.04</v>
      </c>
      <c r="G6" s="15" t="str">
        <v>Clauses a.1-a.3 cover initial, change-triggered, and recurring training; b covers content updates. The four placeholders specify timing and update-triggering events.</v>
      </c>
      <c r="H6" s="13" t="str">
        <f t="shared" ref="H6:H35" si="0">IF(AND(LEN(TRIM(D6))&gt;0,LEN(TRIM(E6))&gt;0,LEN(TRIM(F6))&gt;0),"Complete","Incomplete")</f>
        <v>Complete</v>
      </c>
    </row>
    <row r="7" spans="1:8" ht="68" customHeight="1">
      <c r="A7" s="14" t="s">
        <v>55</v>
      </c>
      <c r="B7" s="14" t="s">
        <v>45</v>
      </c>
      <c r="C7" s="13" t="s">
        <v>56</v>
      </c>
      <c r="D7" s="15" t="str">
        <v>PM-7</v>
      </c>
      <c r="E7" s="15" t="str">
        <v>pm-7_smt</v>
      </c>
      <c r="F7" s="15" t="str">
        <v>NONE</v>
      </c>
      <c r="G7" s="15" t="str">
        <v>The statement directly requires enterprise architecture to consider security, privacy, and resulting risks to organizations, individuals, and the Nation. No placeholder is present.</v>
      </c>
      <c r="H7" s="13" t="str">
        <f t="shared" si="0"/>
        <v>Complete</v>
      </c>
    </row>
    <row r="8" spans="1:8" ht="104" customHeight="1">
      <c r="A8" s="14" t="s">
        <v>57</v>
      </c>
      <c r="B8" s="14" t="s">
        <v>43</v>
      </c>
      <c r="C8" s="13" t="s">
        <v>58</v>
      </c>
      <c r="D8" s="15" t="str">
        <v>CA-7</v>
      </c>
      <c r="E8" s="15" t="str">
        <v>ca-7_smt.a
ca-7_smt.b
ca-7_smt.c
ca-7_smt.d
ca-7_smt.e
ca-7_smt.f
ca-7_smt.g</v>
      </c>
      <c r="F8" s="15" t="str">
        <v>ca-7_prm_1
ca-7_prm_2
ca-7_prm_3
ca-7_prm_4
ca-7_prm_5</v>
      </c>
      <c r="G8" s="15" t="str">
        <v>Clauses a-g enumerate the monitoring program's required elements. Their five placeholders cover metrics, monitoring and assessment frequencies, reporting recipients, and reporting frequency.</v>
      </c>
      <c r="H8" s="13" t="str">
        <f t="shared" si="0"/>
        <v>Complete</v>
      </c>
    </row>
    <row r="9" spans="1:8" ht="90" customHeight="1">
      <c r="A9" s="14" t="s">
        <v>59</v>
      </c>
      <c r="B9" s="14" t="s">
        <v>45</v>
      </c>
      <c r="C9" s="13" t="s">
        <v>60</v>
      </c>
      <c r="D9" s="15" t="str">
        <v>AU-3</v>
      </c>
      <c r="E9" s="15" t="str">
        <v>au-3_smt.a
au-3_smt.b
au-3_smt.c
au-3_smt.d
au-3_smt.e
au-3_smt.f</v>
      </c>
      <c r="F9" s="15" t="str">
        <v>NONE</v>
      </c>
      <c r="G9" s="15" t="str">
        <v>Clauses a-f specify the event type, time, location, source, outcome, and associated identities required in audit records. No placeholder is present.</v>
      </c>
      <c r="H9" s="13" t="str">
        <f t="shared" si="0"/>
        <v>Complete</v>
      </c>
    </row>
    <row r="10" spans="1:8" ht="58" customHeight="1">
      <c r="A10" s="14" t="s">
        <v>61</v>
      </c>
      <c r="B10" s="14" t="s">
        <v>45</v>
      </c>
      <c r="C10" s="13" t="s">
        <v>62</v>
      </c>
      <c r="D10" s="15" t="str">
        <v>SC-13</v>
      </c>
      <c r="E10" s="15" t="str">
        <v>sc-13_smt.a
sc-13_smt.b
sc-13_gdn</v>
      </c>
      <c r="F10" s="15" t="str">
        <v>sc-13_odp.01
sc-13_odp.02</v>
      </c>
      <c r="G10" s="15" t="str">
        <v>Clauses a-b cover cryptographic uses and types; guidance addresses applicable standards and legal requirements. Both statement placeholders are required.</v>
      </c>
      <c r="H10" s="13" t="str">
        <f t="shared" si="0"/>
        <v>Complete</v>
      </c>
    </row>
    <row r="11" spans="1:8" ht="68" customHeight="1">
      <c r="A11" s="14" t="s">
        <v>63</v>
      </c>
      <c r="B11" s="14" t="s">
        <v>45</v>
      </c>
      <c r="C11" s="13" t="s">
        <v>64</v>
      </c>
      <c r="D11" s="15" t="str">
        <v>RA-9</v>
      </c>
      <c r="E11" s="15" t="str">
        <v>ra-9_smt
ra-9_gdn</v>
      </c>
      <c r="F11" s="15" t="str">
        <v>ra-09_odp.01
ra-09_odp.02</v>
      </c>
      <c r="G11" s="15" t="str">
        <v>The statement identifies critical components and functions and contains scope and timing placeholders. Guidance explains protection priorities and analysis during design or architecture changes.</v>
      </c>
      <c r="H11" s="13" t="str">
        <f t="shared" si="0"/>
        <v>Complete</v>
      </c>
    </row>
    <row r="12" spans="1:8" ht="68" customHeight="1">
      <c r="A12" s="14" t="s">
        <v>65</v>
      </c>
      <c r="B12" s="14" t="s">
        <v>45</v>
      </c>
      <c r="C12" s="13" t="s">
        <v>66</v>
      </c>
      <c r="D12" s="15" t="str">
        <v>PS-3</v>
      </c>
      <c r="E12" s="15" t="str">
        <v>ps-3_smt.a
ps-3_smt.b
ps-3_gdn</v>
      </c>
      <c r="F12" s="15" t="str">
        <v>ps-3_prm_1</v>
      </c>
      <c r="G12" s="15" t="str">
        <v>Clauses a-b require screening before access and subsequent rescreening. Guidance explains screening methods and risk-based criteria; b supplies the rescreening placeholder.</v>
      </c>
      <c r="H12" s="13" t="str">
        <f t="shared" si="0"/>
        <v>Complete</v>
      </c>
    </row>
    <row r="13" spans="1:8" ht="68" customHeight="1">
      <c r="A13" s="14" t="s">
        <v>67</v>
      </c>
      <c r="B13" s="14" t="s">
        <v>45</v>
      </c>
      <c r="C13" s="13" t="s">
        <v>68</v>
      </c>
      <c r="D13" s="15" t="str">
        <v>SR-2</v>
      </c>
      <c r="E13" s="15" t="str">
        <v>sr-2_smt.a
sr-2_smt.b
sr-2_smt.c
sr-2_gdn</v>
      </c>
      <c r="F13" s="15" t="str">
        <v>sr-02_odp.01
sr-02_odp.02</v>
      </c>
      <c r="G13" s="15" t="str">
        <v>Clauses a-c cover plan scope, review, and protection; guidance supplies detailed plan elements. The two placeholders define covered systems or services and review frequency.</v>
      </c>
      <c r="H13" s="13" t="str">
        <f t="shared" si="0"/>
        <v>Complete</v>
      </c>
    </row>
    <row r="14" spans="1:8" ht="58" customHeight="1">
      <c r="A14" s="14" t="s">
        <v>69</v>
      </c>
      <c r="B14" s="14" t="s">
        <v>45</v>
      </c>
      <c r="C14" s="13" t="s">
        <v>70</v>
      </c>
      <c r="D14" s="15" t="str">
        <v>CP-4</v>
      </c>
      <c r="E14" s="15" t="str">
        <v>cp-4_smt.a
cp-4_smt.b
cp-4_smt.c</v>
      </c>
      <c r="F14" s="15" t="str">
        <v>cp-04_odp.01
cp-4_prm_2</v>
      </c>
      <c r="G14" s="15" t="str">
        <v>Clause a specifies testing frequency and test types; b-c require review of results and corrective action when needed. Both placeholders in a are retained.</v>
      </c>
      <c r="H14" s="13" t="str">
        <f t="shared" si="0"/>
        <v>Complete</v>
      </c>
    </row>
    <row r="15" spans="1:8" ht="68" customHeight="1">
      <c r="A15" s="14" t="s">
        <v>71</v>
      </c>
      <c r="B15" s="14" t="s">
        <v>43</v>
      </c>
      <c r="C15" s="13" t="s">
        <v>72</v>
      </c>
      <c r="D15" s="15" t="str">
        <v>PS-3</v>
      </c>
      <c r="E15" s="15" t="str">
        <v>ps-3_smt.a</v>
      </c>
      <c r="F15" s="15" t="str">
        <v>NONE</v>
      </c>
      <c r="G15" s="15" t="str">
        <v>Clause a directly requires screening before access authorization. Rescreening in b addresses a later stage and is outside this question; the selected clause has no placeholder.</v>
      </c>
      <c r="H15" s="13" t="str">
        <f t="shared" si="0"/>
        <v>Complete</v>
      </c>
    </row>
    <row r="16" spans="1:8" ht="68" customHeight="1">
      <c r="A16" s="14" t="s">
        <v>73</v>
      </c>
      <c r="B16" s="14" t="s">
        <v>43</v>
      </c>
      <c r="C16" s="13" t="s">
        <v>74</v>
      </c>
      <c r="D16" s="15" t="str">
        <v>MP-4</v>
      </c>
      <c r="E16" s="15" t="str">
        <v>mp-4_smt.a
mp-4_smt.b</v>
      </c>
      <c r="F16" s="15" t="str">
        <v>mp-4_prm_1
mp-4_prm_2</v>
      </c>
      <c r="G16" s="15" t="str">
        <v>Clauses a-b require secure physical storage and protection until destruction or sanitization. The two placeholders identify media and controlled storage areas.</v>
      </c>
      <c r="H16" s="13" t="str">
        <f t="shared" si="0"/>
        <v>Complete</v>
      </c>
    </row>
    <row r="17" spans="1:8" ht="80" customHeight="1">
      <c r="A17" s="14" t="s">
        <v>75</v>
      </c>
      <c r="B17" s="14" t="s">
        <v>45</v>
      </c>
      <c r="C17" s="13" t="s">
        <v>76</v>
      </c>
      <c r="D17" s="15" t="str">
        <v>AC-2</v>
      </c>
      <c r="E17" s="15" t="str">
        <v>ac-2_smt.h
ac-2_smt.h.1
ac-2_smt.h.2
ac-2_smt.h.3</v>
      </c>
      <c r="F17" s="15" t="str">
        <v>ac-02_odp.05
ac-02_odp.06
ac-02_odp.07
ac-02_odp.08</v>
      </c>
      <c r="G17" s="15" t="str">
        <v>Clause h identifies notification recipients; h.1-h.3 specify the three triggering conditions and deadlines. Including the parent preserves its recipient placeholder alongside the three timing placeholders.</v>
      </c>
      <c r="H17" s="13" t="str">
        <f t="shared" si="0"/>
        <v>Complete</v>
      </c>
    </row>
    <row r="18" spans="1:8" ht="68" customHeight="1">
      <c r="A18" s="14" t="s">
        <v>77</v>
      </c>
      <c r="B18" s="14" t="s">
        <v>45</v>
      </c>
      <c r="C18" s="13" t="s">
        <v>78</v>
      </c>
      <c r="D18" s="15" t="str">
        <v>MP-3</v>
      </c>
      <c r="E18" s="15" t="str">
        <v>mp-3_smt.a
mp-3_smt.b</v>
      </c>
      <c r="F18" s="15" t="str">
        <v>mp-03_odp.01
mp-03_odp.02</v>
      </c>
      <c r="G18" s="15" t="str">
        <v>Clause a covers distribution limits, handling caveats, and security markings. Clause b defines marking exemptions through media and controlled-area placeholders.</v>
      </c>
      <c r="H18" s="13" t="str">
        <f t="shared" si="0"/>
        <v>Complete</v>
      </c>
    </row>
    <row r="19" spans="1:8" ht="58" customHeight="1">
      <c r="A19" s="14" t="s">
        <v>79</v>
      </c>
      <c r="B19" s="14" t="s">
        <v>45</v>
      </c>
      <c r="C19" s="13" t="s">
        <v>80</v>
      </c>
      <c r="D19" s="15" t="str">
        <v>IR-5</v>
      </c>
      <c r="E19" s="15" t="str">
        <v>ir-5_gdn</v>
      </c>
      <c r="F19" s="15" t="str">
        <v>NONE</v>
      </c>
      <c r="G19" s="15" t="str">
        <v>Guidance directly identifies incident records, status, forensic information, and analysis of details, trends, and handling. It contains no placeholder.</v>
      </c>
      <c r="H19" s="13" t="str">
        <f t="shared" si="0"/>
        <v>Complete</v>
      </c>
    </row>
    <row r="20" spans="1:8" ht="80" customHeight="1">
      <c r="A20" s="14" t="s">
        <v>81</v>
      </c>
      <c r="B20" s="14" t="s">
        <v>45</v>
      </c>
      <c r="C20" s="13" t="s">
        <v>82</v>
      </c>
      <c r="D20" s="15" t="str">
        <v>PT-3</v>
      </c>
      <c r="E20" s="15" t="str">
        <v>pt-3_smt.a
pt-3_smt.c
pt-2_smt.a
pt-2_smt.b</v>
      </c>
      <c r="F20" s="15" t="str">
        <v>pt-03_odp.01
pt-03_odp.02
pt-02_odp.01
pt-02_odp.02
pt-02_odp.03</v>
      </c>
      <c r="G20" s="15" t="str">
        <v>PT-3 governs documented purposes and purpose-compatible processing. PT-2(a,b) cover the separate lawful-authority requirement. No single control fully covers both parts; all five placeholders are retained.</v>
      </c>
      <c r="H20" s="13" t="str">
        <f t="shared" si="0"/>
        <v>Complete</v>
      </c>
    </row>
    <row r="21" spans="1:8" ht="68" customHeight="1">
      <c r="A21" s="14" t="s">
        <v>83</v>
      </c>
      <c r="B21" s="14" t="s">
        <v>45</v>
      </c>
      <c r="C21" s="13" t="s">
        <v>84</v>
      </c>
      <c r="D21" s="15" t="str">
        <v>PM-6</v>
      </c>
      <c r="E21" s="15" t="str">
        <v>pm-6_gdn</v>
      </c>
      <c r="F21" s="15" t="str">
        <v>NONE</v>
      </c>
      <c r="G21" s="15" t="str">
        <v>Guidance explains outcome-based performance metrics for program effectiveness or efficiency and their alignment with risk tolerance. It contains no placeholder.</v>
      </c>
      <c r="H21" s="13" t="str">
        <f t="shared" si="0"/>
        <v>Complete</v>
      </c>
    </row>
    <row r="22" spans="1:8" ht="68" customHeight="1">
      <c r="A22" s="14" t="s">
        <v>85</v>
      </c>
      <c r="B22" s="14" t="s">
        <v>43</v>
      </c>
      <c r="C22" s="13" t="s">
        <v>86</v>
      </c>
      <c r="D22" s="15" t="str">
        <v>AT-2</v>
      </c>
      <c r="E22" s="15" t="str">
        <v>at-2_smt</v>
      </c>
      <c r="F22" s="15" t="str">
        <v>at-2_prm_1</v>
      </c>
      <c r="G22" s="15" t="str">
        <v>The full statement preserves the basic-awareness training requirement and its audience, together with initial, change-triggered, and recurring timing. The recurrence placeholder is required.</v>
      </c>
      <c r="H22" s="13" t="str">
        <f t="shared" si="0"/>
        <v>Complete</v>
      </c>
    </row>
    <row r="23" spans="1:8" ht="68" customHeight="1">
      <c r="A23" s="14" t="s">
        <v>87</v>
      </c>
      <c r="B23" s="14" t="s">
        <v>45</v>
      </c>
      <c r="C23" s="13" t="s">
        <v>88</v>
      </c>
      <c r="D23" s="15" t="str">
        <v>MA-2</v>
      </c>
      <c r="E23" s="15" t="str">
        <v>ma-2_gdn</v>
      </c>
      <c r="F23" s="15" t="str">
        <v>NONE</v>
      </c>
      <c r="G23" s="15" t="str">
        <v>Interpreted 'key considerations' as guidance on maintenance scope, record contents, and replacement-component risks. The selected guidance contains no placeholder.</v>
      </c>
      <c r="H23" s="13" t="str">
        <f t="shared" si="0"/>
        <v>Complete</v>
      </c>
    </row>
    <row r="24" spans="1:8" ht="68" customHeight="1">
      <c r="A24" s="14" t="s">
        <v>89</v>
      </c>
      <c r="B24" s="14" t="s">
        <v>45</v>
      </c>
      <c r="C24" s="13" t="s">
        <v>90</v>
      </c>
      <c r="D24" s="15" t="str">
        <v>RA-2</v>
      </c>
      <c r="E24" s="15" t="str">
        <v>ra-2_smt.a
ra-2_smt.b
ra-2_smt.c</v>
      </c>
      <c r="F24" s="15" t="str">
        <v>NONE</v>
      </c>
      <c r="G24" s="15" t="str">
        <v>Clauses a-c cover categorization, documentation with rationale, and approval by the authorizing official or designated representative. No placeholder is present.</v>
      </c>
      <c r="H24" s="13" t="str">
        <f t="shared" si="0"/>
        <v>Complete</v>
      </c>
    </row>
    <row r="25" spans="1:8" ht="68" customHeight="1">
      <c r="A25" s="14" t="s">
        <v>91</v>
      </c>
      <c r="B25" s="14" t="s">
        <v>43</v>
      </c>
      <c r="C25" s="13" t="s">
        <v>92</v>
      </c>
      <c r="D25" s="15" t="str">
        <v>IA-2</v>
      </c>
      <c r="E25" s="15" t="str">
        <v>ia-2_smt</v>
      </c>
      <c r="F25" s="15" t="str">
        <v>NONE</v>
      </c>
      <c r="G25" s="15" t="str">
        <v>The statement directly requires unique identification and authentication of organizational users or processes acting on their behalf. No placeholder is present.</v>
      </c>
      <c r="H25" s="13" t="str">
        <f t="shared" si="0"/>
        <v>Complete</v>
      </c>
    </row>
    <row r="26" spans="1:8" ht="68" customHeight="1">
      <c r="A26" s="14" t="s">
        <v>93</v>
      </c>
      <c r="B26" s="14" t="s">
        <v>45</v>
      </c>
      <c r="C26" s="13" t="s">
        <v>94</v>
      </c>
      <c r="D26" s="15" t="str">
        <v>PT-4</v>
      </c>
      <c r="E26" s="15" t="str">
        <v>pt-4_smt
pt-4_gdn</v>
      </c>
      <c r="F26" s="15" t="str">
        <v>pt-04_odp</v>
      </c>
      <c r="G26" s="15" t="str">
        <v>The statement requires a consent mechanism before collection. Guidance covers informed choice, mechanism selection, revocation, and usability; the statement's mechanism placeholder is required.</v>
      </c>
      <c r="H26" s="13" t="str">
        <f t="shared" si="0"/>
        <v>Complete</v>
      </c>
    </row>
    <row r="27" spans="1:8" ht="68" customHeight="1">
      <c r="A27" s="14" t="s">
        <v>95</v>
      </c>
      <c r="B27" s="14" t="s">
        <v>45</v>
      </c>
      <c r="C27" s="13" t="s">
        <v>96</v>
      </c>
      <c r="D27" s="15" t="str">
        <v>PL-7</v>
      </c>
      <c r="E27" s="15" t="str">
        <v>pl-7_smt.a
pl-7_smt.b</v>
      </c>
      <c r="F27" s="15" t="str">
        <v>pl-07_odp</v>
      </c>
      <c r="G27" s="15" t="str">
        <v>Clause a states the CONOPS purpose: intended system operation from security and privacy perspectives. Clause b supplies the review and update frequency placeholder.</v>
      </c>
      <c r="H27" s="13" t="str">
        <f t="shared" si="0"/>
        <v>Complete</v>
      </c>
    </row>
    <row r="28" spans="1:8" ht="68" customHeight="1">
      <c r="A28" s="14" t="s">
        <v>97</v>
      </c>
      <c r="B28" s="14" t="s">
        <v>45</v>
      </c>
      <c r="C28" s="13" t="s">
        <v>98</v>
      </c>
      <c r="D28" s="15" t="str">
        <v>MA-3</v>
      </c>
      <c r="E28" s="15" t="str">
        <v>ma-3_smt.a
ma-3_smt.b</v>
      </c>
      <c r="F28" s="15" t="str">
        <v>ma-03_odp</v>
      </c>
      <c r="G28" s="15" t="str">
        <v>Clause a requires approval, control, and monitoring of maintenance tools; b requires review of approved tools. The single placeholder specifies review frequency.</v>
      </c>
      <c r="H28" s="13" t="str">
        <f t="shared" si="0"/>
        <v>Complete</v>
      </c>
    </row>
    <row r="29" spans="1:8" ht="68" customHeight="1">
      <c r="A29" s="14" t="s">
        <v>99</v>
      </c>
      <c r="B29" s="14" t="s">
        <v>45</v>
      </c>
      <c r="C29" s="13" t="s">
        <v>100</v>
      </c>
      <c r="D29" s="15" t="str">
        <v>PL-2</v>
      </c>
      <c r="E29" s="15" t="str">
        <v>pl-2_gdn</v>
      </c>
      <c r="F29" s="15" t="str">
        <v>NONE</v>
      </c>
      <c r="G29" s="15" t="str">
        <v>The question explicitly requests PL-2 guidance, so only pl-2_gdn is selected. Its discussion of plan scope, detail, integration, and updates contains no placeholder.</v>
      </c>
      <c r="H29" s="13" t="str">
        <f t="shared" si="0"/>
        <v>Complete</v>
      </c>
    </row>
    <row r="30" spans="1:8" ht="68" customHeight="1">
      <c r="A30" s="14" t="s">
        <v>101</v>
      </c>
      <c r="B30" s="14" t="s">
        <v>43</v>
      </c>
      <c r="C30" s="13" t="s">
        <v>102</v>
      </c>
      <c r="D30" s="15" t="str">
        <v>MP-6</v>
      </c>
      <c r="E30" s="15" t="str">
        <v>mp-6_smt.a
mp-6_smt.b</v>
      </c>
      <c r="F30" s="15" t="str">
        <v>mp-6_prm_1
mp-6_prm_2</v>
      </c>
      <c r="G30" s="15" t="str">
        <v>Clause a specifies media, sanitization methods, and disposal or release conditions; b requires strength appropriate to information sensitivity. Both placeholders in a are retained.</v>
      </c>
      <c r="H30" s="13" t="str">
        <f t="shared" si="0"/>
        <v>Complete</v>
      </c>
    </row>
    <row r="31" spans="1:8" ht="68" customHeight="1">
      <c r="A31" s="14" t="s">
        <v>103</v>
      </c>
      <c r="B31" s="14" t="s">
        <v>45</v>
      </c>
      <c r="C31" s="13" t="s">
        <v>104</v>
      </c>
      <c r="D31" s="15" t="str">
        <v>PM-2</v>
      </c>
      <c r="E31" s="15" t="str">
        <v>pm-2_smt
pm-2_gdn</v>
      </c>
      <c r="F31" s="15" t="str">
        <v>NONE</v>
      </c>
      <c r="G31" s="15" t="str">
        <v>Guidance identifies the official and alternative titles; the statement defines responsibility for the organization-wide information security program. Neither contains a placeholder.</v>
      </c>
      <c r="H31" s="13" t="str">
        <f t="shared" si="0"/>
        <v>Complete</v>
      </c>
    </row>
    <row r="32" spans="1:8" ht="58" customHeight="1">
      <c r="A32" s="14" t="s">
        <v>105</v>
      </c>
      <c r="B32" s="14" t="s">
        <v>45</v>
      </c>
      <c r="C32" s="13" t="s">
        <v>106</v>
      </c>
      <c r="D32" s="15" t="str">
        <v>AC-3</v>
      </c>
      <c r="E32" s="15" t="str">
        <v>ac-3_smt</v>
      </c>
      <c r="F32" s="15" t="str">
        <v>NONE</v>
      </c>
      <c r="G32" s="15" t="str">
        <v>The statement directly requires enforcement of approved logical-access authorizations under applicable access-control policies. No placeholder is present.</v>
      </c>
      <c r="H32" s="13" t="str">
        <f t="shared" si="0"/>
        <v>Complete</v>
      </c>
    </row>
    <row r="33" spans="1:8" ht="80" customHeight="1">
      <c r="A33" s="14" t="s">
        <v>107</v>
      </c>
      <c r="B33" s="14" t="s">
        <v>45</v>
      </c>
      <c r="C33" s="13" t="s">
        <v>108</v>
      </c>
      <c r="D33" s="15" t="str">
        <v>SA-10</v>
      </c>
      <c r="E33" s="15" t="str">
        <v>sa-10_smt.a
sa-10_smt.b
sa-10_smt.c
sa-10_smt.d
sa-10_smt.e</v>
      </c>
      <c r="F33" s="15" t="str">
        <v>sa-10_odp.01
sa-10_odp.02
sa-10_odp.03</v>
      </c>
      <c r="G33" s="15" t="str">
        <v>Clauses a-e cover developer configuration management, change integrity, approved changes, impact documentation, and flaw tracking. The three placeholders define stages, controlled items, and report recipients.</v>
      </c>
      <c r="H33" s="13" t="str">
        <f t="shared" si="0"/>
        <v>Complete</v>
      </c>
    </row>
    <row r="34" spans="1:8" ht="104" customHeight="1">
      <c r="A34" s="14" t="s">
        <v>109</v>
      </c>
      <c r="B34" s="14" t="s">
        <v>43</v>
      </c>
      <c r="C34" s="13" t="s">
        <v>110</v>
      </c>
      <c r="D34" s="15" t="str">
        <v>IA-5</v>
      </c>
      <c r="E34" s="15" t="str">
        <v>ia-5_smt.a
ia-5_smt.b
ia-5_smt.c
ia-5_smt.d
ia-5_smt.e
ia-5_smt.h
ia-5_smt.i</v>
      </c>
      <c r="F34" s="15" t="str">
        <v>NONE</v>
      </c>
      <c r="G34" s="15" t="str">
        <v>Selected clauses cover identity checks, initial content and strength, distribution and revocation, default changes, and safeguards. Refresh timing is not asked; these clauses contain no placeholder.</v>
      </c>
      <c r="H34" s="13" t="str">
        <f t="shared" si="0"/>
        <v>Complete</v>
      </c>
    </row>
    <row r="35" spans="1:8" ht="68" customHeight="1">
      <c r="A35" s="14" t="s">
        <v>111</v>
      </c>
      <c r="B35" s="14" t="s">
        <v>43</v>
      </c>
      <c r="C35" s="13" t="s">
        <v>112</v>
      </c>
      <c r="D35" s="15" t="str">
        <v>MA-2</v>
      </c>
      <c r="E35" s="15" t="str">
        <v>ma-2_smt.c</v>
      </c>
      <c r="F35" s="15" t="str">
        <v>ma-2_prm_1</v>
      </c>
      <c r="G35" s="15" t="str">
        <v>Clause c directly identifies who must explicitly approve off-site removal for maintenance or repair. Its placeholder specifies the approving personnel or roles.</v>
      </c>
      <c r="H35" s="13" t="str">
        <f t="shared" si="0"/>
        <v>Complete</v>
      </c>
    </row>
  </sheetData>
  <mergeCells count="2">
    <mergeCell ref="A2:H2"/>
    <mergeCell ref="A3:H3"/>
  </mergeCells>
  <conditionalFormatting sqref="H6:H35">
    <cfRule type="containsText" dxfId="1" priority="1" operator="containsText" text="Incomplete"/>
    <cfRule type="containsText" dxfId="0" priority="2" operator="containsText" text="Complete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</vt:lpstr>
      <vt:lpstr>Relabeling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Wenjia Wang</cp:lastModifiedBy>
  <dcterms:modified xsi:type="dcterms:W3CDTF">2026-10-02T14:06:48Z</dcterms:modified>
</cp:coreProperties>
</file>