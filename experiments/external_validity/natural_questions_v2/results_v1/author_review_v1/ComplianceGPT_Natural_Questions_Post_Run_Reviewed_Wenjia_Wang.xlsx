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fa1c1c5c0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 review" sheetId="1" r:id="Re893b87a916344a6"/>
    <x:sheet xmlns:r="http://schemas.openxmlformats.org/officeDocument/2006/relationships" name="Frozen questions" sheetId="2" r:id="Re35e241a52274107"/>
  </x:sheets>
</x:workbook>
</file>

<file path=xl/sharedStrings.xml><?xml version="1.0" encoding="utf-8"?>
<x:sst xmlns:x="http://schemas.openxmlformats.org/spreadsheetml/2006/main">
  <x:si>
    <x:t xml:space="preserve">Natural-question author review</x:t>
  </x:si>
  <x:si>
    <x:t xml:space="preserve">Recorded</x:t>
  </x:si>
  <x:si>
    <x:t xml:space="preserve">Read the full paired answers and audit observations in the companion Full Review HTML.</x:t>
  </x:si>
  <x:si>
    <x:t xml:space="preserve">Pending</x:t>
  </x:si>
  <x:si>
    <x:t xml:space="preserve">Enter yes, no or uncertain in C–E. </x:t>
  </x:si>
  <x:si>
    <x:t xml:space="preserve">Scope: stays within available authority and explains unsupported parts. Responsive: addresses the entire original question.</x:t>
  </x:si>
  <x:si>
    <x:t xml:space="preserve">Unsupported claim: YES flags a problem. An uncertainty records a review but leaves that judgment unresolved. Yellow cells C–G are editable.</x:t>
  </x:si>
  <x:si>
    <x:t xml:space="preserve">Query ID</x:t>
  </x:si>
  <x:si>
    <x:t xml:space="preserve">System</x:t>
  </x:si>
  <x:si>
    <x:t xml:space="preserve">Within scope?</x:t>
  </x:si>
  <x:si>
    <x:t xml:space="preserve">Answers whole question?</x:t>
  </x:si>
  <x:si>
    <x:t xml:space="preserve">Unsupported implementation/legal claim?</x:t>
  </x:si>
  <x:si>
    <x:t xml:space="preserve">Reviewer</x:t>
  </x:si>
  <x:si>
    <x:t xml:space="preserve">Notes</x:t>
  </x:si>
  <x:si>
    <x:t xml:space="preserve">Review state</x:t>
  </x:si>
  <x:si>
    <x:t xml:space="preserve">Recorded runtime status</x:t>
  </x:si>
  <x:si>
    <x:t xml:space="preserve">NQ01</x:t>
  </x:si>
  <x:si>
    <x:t xml:space="preserve">compliancegpt</x:t>
  </x:si>
  <x:si>
    <x:t xml:space="preserve">PARAMS_REQUIRED</x:t>
  </x:si>
  <x:si>
    <x:t xml:space="preserve">generative_baseline</x:t>
  </x:si>
  <x:si>
    <x:t xml:space="preserve">OK</x:t>
  </x:si>
  <x:si>
    <x:t xml:space="preserve">NQ02</x:t>
  </x:si>
  <x:si>
    <x:t xml:space="preserve">NQ03</x:t>
  </x:si>
  <x:si>
    <x:t xml:space="preserve">NQ04</x:t>
  </x:si>
  <x:si>
    <x:t xml:space="preserve">ERROR</x:t>
  </x:si>
  <x:si>
    <x:t xml:space="preserve">NQ05</x:t>
  </x:si>
  <x:si>
    <x:t xml:space="preserve">NQ06</x:t>
  </x:si>
  <x:si>
    <x:t xml:space="preserve">NO_EVIDENCE</x:t>
  </x:si>
  <x:si>
    <x:t xml:space="preserve">NQ07</x:t>
  </x:si>
  <x:si>
    <x:t xml:space="preserve">NQ08</x:t>
  </x:si>
  <x:si>
    <x:t xml:space="preserve">NQ09</x:t>
  </x:si>
  <x:si>
    <x:t xml:space="preserve">NQ10</x:t>
  </x:si>
  <x:si>
    <x:t xml:space="preserve">NQ11</x:t>
  </x:si>
  <x:si>
    <x:t xml:space="preserve">NQ12</x:t>
  </x:si>
  <x:si>
    <x:t xml:space="preserve">NQ13</x:t>
  </x:si>
  <x:si>
    <x:t xml:space="preserve">NQ14</x:t>
  </x:si>
  <x:si>
    <x:t xml:space="preserve">NQ15</x:t>
  </x:si>
  <x:si>
    <x:t xml:space="preserve">NQ16</x:t>
  </x:si>
  <x:si>
    <x:t xml:space="preserve">NQ17</x:t>
  </x:si>
  <x:si>
    <x:t xml:space="preserve">NQ18</x:t>
  </x:si>
  <x:si>
    <x:t xml:space="preserve">NQ19</x:t>
  </x:si>
  <x:si>
    <x:t xml:space="preserve">NQ20</x:t>
  </x:si>
  <x:si>
    <x:t xml:space="preserve">Frozen question references</x:t>
  </x:si>
  <x:si>
    <x:t xml:space="preserve">Source: registered_questions.jsonl and registered_labels.jsonl at commit 27c437a2176847b6ac82f86b3f1abbb3ba63c1ac. Full bodies appear in the companion HTML.</x:t>
  </x:si>
  <x:si>
    <x:t xml:space="preserve">Original title</x:t>
  </x:si>
  <x:si>
    <x:t xml:space="preserve">Author scope</x:t>
  </x:si>
  <x:si>
    <x:t xml:space="preserve">Author ODP</x:t>
  </x:si>
  <x:si>
    <x:t xml:space="preserve">Governing controls</x:t>
  </x:si>
  <x:si>
    <x:t xml:space="preserve">Required evidence groups</x:t>
  </x:si>
  <x:si>
    <x:t xml:space="preserve">Original source URL</x:t>
  </x:si>
  <x:si>
    <x:t xml:space="preserve">SI-2(2)</x:t>
  </x:si>
  <x:si>
    <x:t xml:space="preserve">partial</x:t>
  </x:si>
  <x:si>
    <x:t xml:space="preserve">not_required</x:t>
  </x:si>
  <x:si>
    <x:t xml:space="preserve">si-2.2</x:t>
  </x:si>
  <x:si>
    <x:t xml:space="preserve">[["si-2.2_smt"]]</x:t>
  </x:si>
  <x:si>
    <x:t xml:space="preserve">https://www.reddit.com/r/NISTControls/comments/fhjwsf/</x:t>
  </x:si>
  <x:si>
    <x:t xml:space="preserve">"Evidence" for SC-39 (Process Isolation) on Windows 2019</x:t>
  </x:si>
  <x:si>
    <x:t xml:space="preserve">sc-39</x:t>
  </x:si>
  <x:si>
    <x:t xml:space="preserve">[["sc-39_smt"],["sc-39_gdn"]]</x:t>
  </x:si>
  <x:si>
    <x:t xml:space="preserve">https://www.reddit.com/r/NISTControls/comments/fslmlw/</x:t>
  </x:si>
  <x:si>
    <x:t xml:space="preserve">CP-7 "Alternate Processing Site"</x:t>
  </x:si>
  <x:si>
    <x:t xml:space="preserve">cp-7</x:t>
  </x:si>
  <x:si>
    <x:t xml:space="preserve">[["cp-7_smt.a"]]</x:t>
  </x:si>
  <x:si>
    <x:t xml:space="preserve">https://www.reddit.com/r/NISTControls/comments/gzbpkg/</x:t>
  </x:si>
  <x:si>
    <x:t xml:space="preserve">800-53: Service Accounts under IA or AC?</x:t>
  </x:si>
  <x:si>
    <x:t xml:space="preserve">full</x:t>
  </x:si>
  <x:si>
    <x:t xml:space="preserve">ac-2</x:t>
  </x:si>
  <x:si>
    <x:t xml:space="preserve">[["ac-2_smt.a"],["ac-2_gdn"]]</x:t>
  </x:si>
  <x:si>
    <x:t xml:space="preserve">https://www.reddit.com/r/NISTControls/comments/hgb890/</x:t>
  </x:si>
  <x:si>
    <x:t xml:space="preserve">SI-11 Error Handling</x:t>
  </x:si>
  <x:si>
    <x:t xml:space="preserve">si-11</x:t>
  </x:si>
  <x:si>
    <x:t xml:space="preserve">[["si-11_smt.a"],["si-11_smt.b"]]</x:t>
  </x:si>
  <x:si>
    <x:t xml:space="preserve">https://www.reddit.com/r/NISTControls/comments/j3vd1s/</x:t>
  </x:si>
  <x:si>
    <x:t xml:space="preserve">NIST 800-53 Rev. 5 Control Template</x:t>
  </x:si>
  <x:si>
    <x:t xml:space="preserve">outside</x:t>
  </x:si>
  <x:si>
    <x:t xml:space="preserve">not_applicable</x:t>
  </x:si>
  <x:si>
    <x:t xml:space="preserve">[]</x:t>
  </x:si>
  <x:si>
    <x:t xml:space="preserve">https://www.reddit.com/r/NISTControls/comments/jsw3ah/</x:t>
  </x:si>
  <x:si>
    <x:t xml:space="preserve">Looking for help with AC Family re: NIST 800-53 Rev. 5</x:t>
  </x:si>
  <x:si>
    <x:t xml:space="preserve">pl-2, sa-9</x:t>
  </x:si>
  <x:si>
    <x:t xml:space="preserve">[["pl-2_smt.a.2"],["pl-2_smt.a.9"],["pl-2_smt.a.12"],["sa-9_smt.a"],["sa-9_smt.b"]]</x:t>
  </x:si>
  <x:si>
    <x:t xml:space="preserve">https://www.reddit.com/r/NISTControls/comments/l510oe/</x:t>
  </x:si>
  <x:si>
    <x:t xml:space="preserve">800-53 vs FedRAMP</x:t>
  </x:si>
  <x:si>
    <x:t xml:space="preserve">https://www.reddit.com/r/NISTControls/comments/xlkw24/</x:t>
  </x:si>
  <x:si>
    <x:t xml:space="preserve">Setting up auditing/logging for NIST 800-53</x:t>
  </x:si>
  <x:si>
    <x:t xml:space="preserve">required</x:t>
  </x:si>
  <x:si>
    <x:t xml:space="preserve">au-2, au-3, au-12</x:t>
  </x:si>
  <x:si>
    <x:t xml:space="preserve">[["au-2_smt.a"],["au-2_smt.c"],["au-3_smt"],["au-12_smt.a"],["au-12_smt.c"]]</x:t>
  </x:si>
  <x:si>
    <x:t xml:space="preserve">https://www.reddit.com/r/NISTControls/comments/10fn11g/</x:t>
  </x:si>
  <x:si>
    <x:t xml:space="preserve">NIST 800-53 Controls</x:t>
  </x:si>
  <x:si>
    <x:t xml:space="preserve">https://www.reddit.com/r/NISTControls/comments/11agrl6/</x:t>
  </x:si>
  <x:si>
    <x:t xml:space="preserve">SI-3 2. Rev 5</x:t>
  </x:si>
  <x:si>
    <x:t xml:space="preserve">si-3</x:t>
  </x:si>
  <x:si>
    <x:t xml:space="preserve">[["si-3_smt.c.2"]]</x:t>
  </x:si>
  <x:si>
    <x:t xml:space="preserve">https://www.reddit.com/r/NISTControls/comments/13iknc0/</x:t>
  </x:si>
  <x:si>
    <x:t xml:space="preserve">Session termination time (3.1.11, AC-12, SC-10) - how long is too long?</x:t>
  </x:si>
  <x:si>
    <x:t xml:space="preserve">ac-12, sc-10</x:t>
  </x:si>
  <x:si>
    <x:t xml:space="preserve">[["ac-12_smt"],["sc-10_smt"]]</x:t>
  </x:si>
  <x:si>
    <x:t xml:space="preserve">https://www.reddit.com/r/NISTControls/comments/143p053/</x:t>
  </x:si>
  <x:si>
    <x:t xml:space="preserve">Control map from PCI DSS to/from 800-53 r5?</x:t>
  </x:si>
  <x:si>
    <x:t xml:space="preserve">https://www.reddit.com/r/NISTControls/comments/15eiini/</x:t>
  </x:si>
  <x:si>
    <x:t xml:space="preserve">Operational bug controls</x:t>
  </x:si>
  <x:si>
    <x:t xml:space="preserve">si-2</x:t>
  </x:si>
  <x:si>
    <x:t xml:space="preserve">[["si-2_smt.a"],["si-2_smt.d"],["si-2_gdn"]]</x:t>
  </x:si>
  <x:si>
    <x:t xml:space="preserve">https://www.reddit.com/r/NISTControls/comments/1ay1tbl/</x:t>
  </x:si>
  <x:si>
    <x:t xml:space="preserve">NIST 800 - 53 Implementation</x:t>
  </x:si>
  <x:si>
    <x:t xml:space="preserve">https://www.reddit.com/r/NISTControls/comments/1btyzmt/</x:t>
  </x:si>
  <x:si>
    <x:t xml:space="preserve">Help me understand control tailoring</x:t>
  </x:si>
  <x:si>
    <x:t xml:space="preserve">au-4, au-11, pl-2</x:t>
  </x:si>
  <x:si>
    <x:t xml:space="preserve">[["au-4_smt"],["au-11_smt"],["pl-2_smt.a.12"]]</x:t>
  </x:si>
  <x:si>
    <x:t xml:space="preserve">https://www.reddit.com/r/NISTControls/comments/1bz0n8c/</x:t>
  </x:si>
  <x:si>
    <x:t xml:space="preserve">Looking for a little help with self-assessment of 800-53r5</x:t>
  </x:si>
  <x:si>
    <x:t xml:space="preserve">ca-2</x:t>
  </x:si>
  <x:si>
    <x:t xml:space="preserve">[["ca-2_smt.a"],["ca-2_smt.b.1"],["ca-2_smt.b.2"],["ca-2_smt.b.3"],["ca-2_smt.c"],["ca-2_smt.d"],["ca-2_smt.e"]]</x:t>
  </x:si>
  <x:si>
    <x:t xml:space="preserve">https://www.reddit.com/r/NISTControls/comments/1civ1d0/</x:t>
  </x:si>
  <x:si>
    <x:t xml:space="preserve">NIST SP 800-53 AC -10 - Practical example</x:t>
  </x:si>
  <x:si>
    <x:t xml:space="preserve">ac-10</x:t>
  </x:si>
  <x:si>
    <x:t xml:space="preserve">[["ac-10_smt"],["ac-10_gdn"]]</x:t>
  </x:si>
  <x:si>
    <x:t xml:space="preserve">https://www.reddit.com/r/NISTControls/comments/1d1yhdk/</x:t>
  </x:si>
  <x:si>
    <x:t xml:space="preserve">Writing Good Policies</x:t>
  </x:si>
  <x:si>
    <x:t xml:space="preserve">ac-1, ac-2, pl-2</x:t>
  </x:si>
  <x:si>
    <x:t xml:space="preserve">[["ac-1_gdn"],["ac-1_smt.a.1.a"],["ac-1_smt.a.1.b"],["ac-1_smt.a.2"],["ac-2_smt.a"],["pl-2_smt.a.12"]]</x:t>
  </x:si>
  <x:si>
    <x:t xml:space="preserve">https://www.reddit.com/r/NISTControls/comments/1els2x6/</x:t>
  </x:si>
  <x:si>
    <x:t xml:space="preserve">800-53 AC-2(5) Logout Versus Lock</x:t>
  </x:si>
  <x:si>
    <x:t xml:space="preserve">ac-2.5, ac-11</x:t>
  </x:si>
  <x:si>
    <x:t xml:space="preserve">[["ac-2.5_smt"],["ac-11_smt.a"],["ac-11_smt.b"]]</x:t>
  </x:si>
  <x:si>
    <x:t xml:space="preserve">https://www.reddit.com/r/NISTControls/comments/1fyhvpg/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</x:si>
</x:sst>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92333"/>
      <x:name val="Arial"/>
    </x:font>
    <x:font>
      <x:b/>
      <x:sz val="14"/>
      <x:color rgb="FF192333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14C78"/>
      </x:patternFill>
    </x:fill>
    <x:fill>
      <x:patternFill patternType="solid">
        <x:fgColor rgb="FFFFF3C6"/>
      </x:patternFill>
    </x:fill>
    <x:fill>
      <x:patternFill patternType="solid">
        <x:fgColor rgb="FFEEF2F8"/>
      </x:patternFill>
    </x:fill>
  </x:fills>
  <x:borders count="2">
    <x:border/>
    <x:border>
      <x:bottom style="thin">
        <x:color rgb="FF314C78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Font="1" applyAlignment="1">
      <x:alignment vertical="top"/>
    </x:xf>
    <x:xf numFmtId="0" fontId="1" fillId="0" borderId="0" xfId="0" applyFont="1" applyAlignment="1">
      <x:alignment vertical="top" wrapText="1"/>
    </x:xf>
    <x:xf numFmtId="0" fontId="2" fillId="0" borderId="0" xfId="0" applyFont="1" applyAlignment="1">
      <x:alignment vertical="top"/>
    </x:xf>
    <x:xf numFmtId="0" fontId="1" fillId="0" borderId="1" xfId="0" applyFont="1" applyBorder="1" applyAlignment="1">
      <x:alignment vertical="top" wrapText="1"/>
    </x:xf>
    <x:xf numFmtId="1" fontId="1" fillId="0" borderId="0" xfId="0" applyNumberFormat="1" applyFont="1" applyAlignment="1">
      <x:alignment vertical="top" wrapText="1"/>
    </x:xf>
    <x:xf numFmtId="0" fontId="3" fillId="2" borderId="0" xfId="0" applyFont="1" applyFill="1" applyAlignment="1">
      <x:alignment horizontal="center" vertical="center" wrapText="1"/>
    </x:xf>
    <x:xf numFmtId="0" fontId="1" fillId="3" borderId="0" xfId="0" applyFont="1" applyFill="1" applyAlignment="1">
      <x:alignment vertical="top" wrapText="1"/>
    </x:xf>
    <x:xf numFmtId="0" fontId="1" fillId="4" borderId="0" xfId="0" applyFont="1" applyFill="1" applyAlignment="1">
      <x:alignment vertical="top" wrapText="1"/>
    </x:xf>
  </x:cellXfs>
  <x:cellStyles count="1">
    <x:cellStyle name="Normal" xfId="0"/>
  </x:cellStyles>
  <x:dxfs count="1">
    <x:dxf>
      <x:font>
        <x:color rgb="FF7B4607"/>
      </x:font>
      <x:fill>
        <x:patternFill>
          <x:bgColor rgb="FFFFE0A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9a616cbc54bab" /><Relationship Type="http://schemas.openxmlformats.org/officeDocument/2006/relationships/theme" Target="/xl/theme/theme1.xml" Id="R7478fdd25ab2426b" /><Relationship Type="http://schemas.openxmlformats.org/officeDocument/2006/relationships/sharedStrings" Target="/xl/sharedStrings.xml" Id="R7132058bc6604dd6" /><Relationship Type="http://schemas.openxmlformats.org/officeDocument/2006/relationships/worksheet" Target="/xl/worksheets/sheet1.xml" Id="Re893b87a916344a6" /><Relationship Type="http://schemas.openxmlformats.org/officeDocument/2006/relationships/worksheet" Target="/xl/worksheets/sheet2.xml" Id="Re35e241a52274107" /></Relationships>
</file>

<file path=xl/tables/table1.xml><?xml version="1.0" encoding="utf-8"?>
<x:table xmlns:x="http://schemas.openxmlformats.org/spreadsheetml/2006/main" id="1" name="AuthorReviewTable" displayName="AuthorReviewTable" ref="A9:I49" totalsRowShown="0">
  <x:tableColumns count="9">
    <x:tableColumn id="1" name="Query ID"/>
    <x:tableColumn id="2" name="System"/>
    <x:tableColumn id="3" name="Within scope?"/>
    <x:tableColumn id="4" name="Answers whole question?"/>
    <x:tableColumn id="5" name="Unsupported implementation/legal claim?"/>
    <x:tableColumn id="6" name="Reviewer"/>
    <x:tableColumn id="7" name="Notes"/>
    <x:tableColumn id="8" name="Review state"/>
    <x:tableColumn id="9" name="Recorded runtime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ozenQuestionsTable" displayName="FrozenQuestionsTable" ref="A4:G24" totalsRowShown="0">
  <x:tableColumns count="7">
    <x:tableColumn id="1" name="Query ID"/>
    <x:tableColumn id="2" name="Original title"/>
    <x:tableColumn id="3" name="Author scope"/>
    <x:tableColumn id="4" name="Author ODP"/>
    <x:tableColumn id="5" name="Governing controls"/>
    <x:tableColumn id="6" name="Required evidence groups"/>
    <x:tableColumn id="7" name="Original 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b15c8f254e45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b1ea49605a43de" /></Relationships>
</file>

<file path=xl/worksheets/sheet1.xml><?xml version="1.0" encoding="utf-8"?>
<x:worksheet xmlns:x="http://schemas.openxmlformats.org/spreadsheetml/2006/main">
  <x:sheetPr>
    <x:tabColor rgb="FF314C78"/>
  </x:sheetPr>
  <x:sheetViews>
    <x:sheetView showGridLines="0" workbookViewId="0">
      <x:pane xSplit="2" ySplit="9" topLeftCell="C10" activePane="bottomRight" state="frozen"/>
    </x:sheetView>
  </x:sheetViews>
  <x:sheetFormatPr baseColWidth="10" defaultColWidth="8.83203125" defaultRowHeight="15"/>
  <x:cols>
    <x:col min="1" max="1" width="8.83203125" customWidth="1"/>
    <x:col min="2" max="2" width="18.33203125" customWidth="1"/>
    <x:col min="3" max="3" width="16.1640625" customWidth="1"/>
    <x:col min="4" max="4" width="18.33203125" customWidth="1"/>
    <x:col min="5" max="5" width="20.5" customWidth="1"/>
    <x:col min="6" max="6" width="13.83203125" customWidth="1"/>
    <x:col min="7" max="7" width="62" hidden="0" customWidth="1"/>
    <x:col min="8" max="9" width="18.83203125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18">
      <x:c r="A2" s="3" t="s">
        <x:v>0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 ht="18" customHeight="1">
      <x:c r="A4" s="2" t="s">
        <x:v>1</x:v>
      </x:c>
      <x:c r="B4" s="5" t="n">
        <x:f>COUNTIFS(H10:H49,"recorded")+COUNTIFS(H10:H49,"recorded with uncertainty")</x:f>
        <x:v>40</x:v>
      </x:c>
      <x:c r="C4" s="1" t="s">
        <x:v>2</x:v>
      </x:c>
      <x:c r="D4" s="1"/>
      <x:c r="E4" s="1"/>
      <x:c r="F4" s="1"/>
      <x:c r="G4" s="1"/>
      <x:c r="H4" s="1"/>
      <x:c r="I4" s="1"/>
    </x:row>
    <x:row r="5" ht="18" customHeight="1">
      <x:c r="A5" s="2" t="s">
        <x:v>3</x:v>
      </x:c>
      <x:c r="B5" s="5" t="n">
        <x:f>COUNTIFS(H10:H49,"pending")</x:f>
        <x:v>0</x:v>
      </x:c>
      <x:c r="C5" s="1" t="s">
        <x:v>4</x:v>
      </x:c>
      <x:c r="D5" s="1"/>
      <x:c r="E5" s="1"/>
      <x:c r="F5" s="1"/>
      <x:c r="G5" s="1"/>
      <x:c r="H5" s="1"/>
      <x:c r="I5" s="1"/>
    </x:row>
    <x:row r="6" ht="18" customHeight="1">
      <x:c r="A6" s="1" t="s">
        <x:v>5</x:v>
      </x:c>
      <x:c r="B6" s="1"/>
      <x:c r="C6" s="1"/>
      <x:c r="D6" s="1"/>
      <x:c r="E6" s="1"/>
      <x:c r="F6" s="1"/>
      <x:c r="G6" s="1"/>
      <x:c r="H6" s="1"/>
      <x:c r="I6" s="1"/>
    </x:row>
    <x:row r="7" ht="18" customHeight="1">
      <x:c r="A7" s="1" t="s">
        <x:v>6</x:v>
      </x:c>
      <x:c r="B7" s="1"/>
      <x:c r="C7" s="1"/>
      <x:c r="D7" s="1"/>
      <x:c r="E7" s="1"/>
      <x:c r="F7" s="1"/>
      <x:c r="G7" s="1"/>
      <x:c r="H7" s="1"/>
      <x:c r="I7" s="1"/>
    </x:row>
    <x:row r="8">
      <x:c r="A8" s="2"/>
      <x:c r="B8" s="2"/>
      <x:c r="C8" s="2"/>
      <x:c r="D8" s="2"/>
      <x:c r="E8" s="2"/>
      <x:c r="F8" s="2"/>
      <x:c r="G8" s="2"/>
      <x:c r="H8" s="2"/>
      <x:c r="I8" s="2"/>
    </x:row>
    <x:row r="9" ht="48.75" customHeight="1">
      <x:c r="A9" s="6" t="s">
        <x:v>7</x:v>
      </x:c>
      <x:c r="B9" s="6" t="s">
        <x:v>8</x:v>
      </x:c>
      <x:c r="C9" s="6" t="s">
        <x:v>9</x:v>
      </x:c>
      <x:c r="D9" s="6" t="s">
        <x:v>10</x:v>
      </x:c>
      <x:c r="E9" s="6" t="s">
        <x:v>11</x:v>
      </x:c>
      <x:c r="F9" s="6" t="s">
        <x:v>12</x:v>
      </x:c>
      <x:c r="G9" s="6" t="s">
        <x:v>13</x:v>
      </x:c>
      <x:c r="H9" s="6" t="s">
        <x:v>14</x:v>
      </x:c>
      <x:c r="I9" s="6" t="s">
        <x:v>15</x:v>
      </x:c>
    </x:row>
    <x:row r="10" ht="66" customHeight="1">
      <x:c r="A10" s="2" t="s">
        <x:v>16</x:v>
      </x:c>
      <x:c r="B10" s="2" t="s">
        <x:v>17</x:v>
      </x:c>
      <x:c r="C10" s="7" t="str">
        <x:v>no</x:v>
      </x:c>
      <x:c r="D10" s="7" t="str">
        <x:v>no</x:v>
      </x:c>
      <x:c r="E10" s="7" t="str">
        <x:v>no</x:v>
      </x:c>
      <x:c r="F10" s="7" t="str">
        <x:v>Wenjia Wang</x:v>
      </x:c>
      <x:c r="G10" s="7" t="str">
        <x:v>虽复制了 SI-2(2)，却未解释自动核查状态与自动安装的区别，也未说明条款不能直接确认该 MUSA 脚本和月度安排是否合格。三项 ODP 追问对这一解释并非必需，si-2.2_prm_1 的问法还漏掉了“频率”含义；未发现额外的实施或法律断言。</x:v>
      </x:c>
      <x:c r="H10" s="8" t="str">
        <x:f t="shared" ref="H10:H49" si="0">IF(OR(COUNTIFS(C10:E10,"yes")+COUNTIFS(C10:E10,"no")+COUNTIFS(C10:E10,"uncertain")&lt;&gt;3,TRIM(F10)=""),"pending",IF(COUNTIFS(C10:E10,"uncertain")&gt;0,"recorded with uncertainty","recorded"))</x:f>
        <x:v>recorded</x:v>
      </x:c>
      <x:c r="I10" s="8" t="s">
        <x:v>18</x:v>
      </x:c>
    </x:row>
    <x:row r="11" ht="66" customHeight="1">
      <x:c r="A11" s="2" t="s">
        <x:v>16</x:v>
      </x:c>
      <x:c r="B11" s="2" t="s">
        <x:v>19</x:v>
      </x:c>
      <x:c r="C11" s="7" t="str">
        <x:v>no</x:v>
      </x:c>
      <x:c r="D11" s="7" t="str">
        <x:v>no</x:v>
      </x:c>
      <x:c r="E11" s="7" t="str">
        <x:v>yes</x:v>
      </x:c>
      <x:c r="F11" s="7" t="str">
        <x:v>Wenjia Wang</x:v>
      </x:c>
      <x:c r="G11" s="7" t="str">
        <x:v>先断言现有脚本满足要求，又要求持续监控和无人工介入的自动安装，将 SI-2(2) 的状态核查问题转成 SI-2(5) 自动更新。所引证据不能确认现有实现合规，也不支持把持续自动安装作为本题要求。</x:v>
      </x:c>
      <x:c r="H11" s="8" t="str">
        <x:f t="shared" si="0">IF(OR(COUNTIFS(C11:E11,"yes")+COUNTIFS(C11:E11,"no")+COUNTIFS(C11:E11,"uncertain")&lt;&gt;3,TRIM(F11)=""),"pending",IF(COUNTIFS(C11:E11,"uncertain")&gt;0,"recorded with uncertainty","recorded"))</x:f>
        <x:v>recorded</x:v>
      </x:c>
      <x:c r="I11" s="8" t="s">
        <x:v>20</x:v>
      </x:c>
    </x:row>
    <x:row r="12" ht="66" customHeight="1">
      <x:c r="A12" s="2" t="s">
        <x:v>21</x:v>
      </x:c>
      <x:c r="B12" s="2" t="s">
        <x:v>17</x:v>
      </x:c>
      <x:c r="C12" s="7" t="str">
        <x:v>no</x:v>
      </x:c>
      <x:c r="D12" s="7" t="str">
        <x:v>no</x:v>
      </x:c>
      <x:c r="E12" s="7" t="str">
        <x:v>no</x:v>
      </x:c>
      <x:c r="F12" s="7" t="str">
        <x:v>Wenjia Wang</x:v>
      </x:c>
      <x:c r="G12" s="7" t="str">
        <x:v>正确复制了执行域和地址空间说明，但没有回答应提供什么 Windows/AWS 证据，也未说明实际配置、控制继承及审计接受度需要另行举证。没有直接宣称部署合格，故 E=no；缺少上述边界说明与主要问题回应，故 C、D=no。</x:v>
      </x:c>
      <x:c r="H12" s="8" t="str">
        <x:f t="shared" si="0">IF(OR(COUNTIFS(C12:E12,"yes")+COUNTIFS(C12:E12,"no")+COUNTIFS(C12:E12,"uncertain")&lt;&gt;3,TRIM(F12)=""),"pending",IF(COUNTIFS(C12:E12,"uncertain")&gt;0,"recorded with uncertainty","recorded"))</x:f>
        <x:v>recorded</x:v>
      </x:c>
      <x:c r="I12" s="8" t="s">
        <x:v>20</x:v>
      </x:c>
    </x:row>
    <x:row r="13" ht="66" customHeight="1">
      <x:c r="A13" s="2" t="s">
        <x:v>21</x:v>
      </x:c>
      <x:c r="B13" s="2" t="s">
        <x:v>19</x:v>
      </x:c>
      <x:c r="C13" s="7" t="str">
        <x:v>no</x:v>
      </x:c>
      <x:c r="D13" s="7" t="str">
        <x:v>yes</x:v>
      </x:c>
      <x:c r="E13" s="7" t="str">
        <x:v>yes</x:v>
      </x:c>
      <x:c r="F13" s="7" t="str">
        <x:v>Wenjia Wang</x:v>
      </x:c>
      <x:c r="G13" s="7" t="str">
        <x:v>文字解释了隔离机制，并提出文档、截图、配置和日志，覆盖了“技术含义”和“提供何种证据”两个请求。可是 SC-39 的通用文字不能证实 Windows 2019 的具体实现，亦未支持进程列表截图能证明隔离或这些材料足以证明所述部署，故 C=no、E=yes。</x:v>
      </x:c>
      <x:c r="H13" s="8" t="str">
        <x:f t="shared" si="0">IF(OR(COUNTIFS(C13:E13,"yes")+COUNTIFS(C13:E13,"no")+COUNTIFS(C13:E13,"uncertain")&lt;&gt;3,TRIM(F13)=""),"pending",IF(COUNTIFS(C13:E13,"uncertain")&gt;0,"recorded with uncertainty","recorded"))</x:f>
        <x:v>recorded</x:v>
      </x:c>
      <x:c r="I13" s="8" t="s">
        <x:v>20</x:v>
      </x:c>
    </x:row>
    <x:row r="14" ht="77" customHeight="1">
      <x:c r="A14" s="2" t="s">
        <x:v>22</x:v>
      </x:c>
      <x:c r="B14" s="2" t="s">
        <x:v>17</x:v>
      </x:c>
      <x:c r="C14" s="7" t="str">
        <x:v>no</x:v>
      </x:c>
      <x:c r="D14" s="7" t="str">
        <x:v>no</x:v>
      </x:c>
      <x:c r="E14" s="7" t="str">
        <x:v>no</x:v>
      </x:c>
      <x:c r="F14" s="7" t="str">
        <x:v>Wenjia Wang</x:v>
      </x:c>
      <x:c r="G14" s="7" t="str">
        <x:v>只重述 CP-7 的实施义务，未解释 LOW 基线是否选用该控制、i-Assure 模板适用性或应如何确认；也未交代这些问题需要基线和裁剪依据，两个 ODP 追问不能解决适用性问题。未发现实施或法律断言；审计备注称 cp-7_prm_1 要求时长，但显示的追问未明确写出时长，只能确认其未清楚说明应填“系统操作”。</x:v>
      </x:c>
      <x:c r="H14" s="8" t="str">
        <x:f t="shared" si="0">IF(OR(COUNTIFS(C14:E14,"yes")+COUNTIFS(C14:E14,"no")+COUNTIFS(C14:E14,"uncertain")&lt;&gt;3,TRIM(F14)=""),"pending",IF(COUNTIFS(C14:E14,"uncertain")&gt;0,"recorded with uncertainty","recorded"))</x:f>
        <x:v>recorded</x:v>
      </x:c>
      <x:c r="I14" s="8" t="s">
        <x:v>18</x:v>
      </x:c>
    </x:row>
    <x:row r="15" ht="66" customHeight="1">
      <x:c r="A15" s="2" t="s">
        <x:v>22</x:v>
      </x:c>
      <x:c r="B15" s="2" t="s">
        <x:v>19</x:v>
      </x:c>
      <x:c r="C15" s="7" t="str">
        <x:v>no</x:v>
      </x:c>
      <x:c r="D15" s="7" t="str">
        <x:v>no</x:v>
      </x:c>
      <x:c r="E15" s="7" t="str">
        <x:v>yes</x:v>
      </x:c>
      <x:c r="F15" s="7" t="str">
        <x:v>Wenjia Wang</x:v>
      </x:c>
      <x:c r="G15" s="7" t="str">
        <x:v>将是否必须建立备用站点归结为组织自行认定必要性，并借用模板中的 LOW 情境推断可能不必实施，提供的条款并未建立这些适用性结论。没有说明应查哪个适用基线或裁剪依据来确认模板结论，漏掉了原帖最后的主要追问。</x:v>
      </x:c>
      <x:c r="H15" s="8" t="str">
        <x:f t="shared" si="0">IF(OR(COUNTIFS(C15:E15,"yes")+COUNTIFS(C15:E15,"no")+COUNTIFS(C15:E15,"uncertain")&lt;&gt;3,TRIM(F15)=""),"pending",IF(COUNTIFS(C15:E15,"uncertain")&gt;0,"recorded with uncertainty","recorded"))</x:f>
        <x:v>recorded</x:v>
      </x:c>
      <x:c r="I15" s="8" t="s">
        <x:v>20</x:v>
      </x:c>
    </x:row>
    <x:row r="16" ht="66" customHeight="1">
      <x:c r="A16" s="2" t="s">
        <x:v>23</x:v>
      </x:c>
      <x:c r="B16" s="2" t="s">
        <x:v>17</x:v>
      </x:c>
      <x:c r="C16" s="7" t="str">
        <x:v>yes</x:v>
      </x:c>
      <x:c r="D16" s="7" t="str">
        <x:v>yes</x:v>
      </x:c>
      <x:c r="E16" s="7" t="str">
        <x:v>no</x:v>
      </x:c>
      <x:c r="F16" s="7" t="str">
        <x:v>Wenjia Wang</x:v>
      </x:c>
      <x:c r="G16" s="7" t="str">
        <x:v>AC-2 引用明确列出 service accounts，并给出账户类型选择要求，足以回应本题“到哪里找要求”的指引请求；没有作系统合规或审计接受度断言。账户类型和复核频率两项 ODP 追问是多余的，不应成为获得该指引的前提。</x:v>
      </x:c>
      <x:c r="H16" s="8" t="str">
        <x:f t="shared" si="0">IF(OR(COUNTIFS(C16:E16,"yes")+COUNTIFS(C16:E16,"no")+COUNTIFS(C16:E16,"uncertain")&lt;&gt;3,TRIM(F16)=""),"pending",IF(COUNTIFS(C16:E16,"uncertain")&gt;0,"recorded with uncertainty","recorded"))</x:f>
        <x:v>recorded</x:v>
      </x:c>
      <x:c r="I16" s="8" t="s">
        <x:v>18</x:v>
      </x:c>
    </x:row>
    <x:row r="17" ht="66" customHeight="1">
      <x:c r="A17" s="2" t="s">
        <x:v>23</x:v>
      </x:c>
      <x:c r="B17" s="2" t="s">
        <x:v>19</x:v>
      </x:c>
      <x:c r="C17" s="7" t="str">
        <x:v>no</x:v>
      </x:c>
      <x:c r="D17" s="7" t="str">
        <x:v>no</x:v>
      </x:c>
      <x:c r="E17" s="7" t="str">
        <x:v>no</x:v>
      </x:c>
      <x:c r="F17" s="7" t="str">
        <x:v>Wenjia Wang</x:v>
      </x:c>
      <x:c r="G17" s="7" t="str">
        <x:v>最终回答为空，未提供 AC-2 的服务账户指引或任何范围说明；相关条款已在可用材料中，不能把这次失败视为有依据的拒答。没有实际断言，故 E=no；ERROR 本身不作为实施或法律错误。</x:v>
      </x:c>
      <x:c r="H17" s="8" t="str">
        <x:f t="shared" si="0">IF(OR(COUNTIFS(C17:E17,"yes")+COUNTIFS(C17:E17,"no")+COUNTIFS(C17:E17,"uncertain")&lt;&gt;3,TRIM(F17)=""),"pending",IF(COUNTIFS(C17:E17,"uncertain")&gt;0,"recorded with uncertainty","recorded"))</x:f>
        <x:v>recorded</x:v>
      </x:c>
      <x:c r="I17" s="8" t="s">
        <x:v>24</x:v>
      </x:c>
    </x:row>
    <x:row r="18" ht="66" customHeight="1">
      <x:c r="A18" s="2" t="s">
        <x:v>25</x:v>
      </x:c>
      <x:c r="B18" s="2" t="s">
        <x:v>17</x:v>
      </x:c>
      <x:c r="C18" s="7" t="str">
        <x:v>no</x:v>
      </x:c>
      <x:c r="D18" s="7" t="str">
        <x:v>no</x:v>
      </x:c>
      <x:c r="E18" s="7" t="str">
        <x:v>no</x:v>
      </x:c>
      <x:c r="F18" s="7" t="str">
        <x:v>Wenjia Wang</x:v>
      </x:c>
      <x:c r="G18" s="7" t="str">
        <x:v>仅重复用户已经引用的 SI-11 两项义务，没有评估“用了 COTS 就可以依赖供应商”的推论，也未说明责任分配需要配置、验证及合同依据。人员/角色 ODP 并非解释责任所必需，追问还混入“gdn guidance”；未新增实施或法律断言。</x:v>
      </x:c>
      <x:c r="H18" s="8" t="str">
        <x:f t="shared" si="0">IF(OR(COUNTIFS(C18:E18,"yes")+COUNTIFS(C18:E18,"no")+COUNTIFS(C18:E18,"uncertain")&lt;&gt;3,TRIM(F18)=""),"pending",IF(COUNTIFS(C18:E18,"uncertain")&gt;0,"recorded with uncertainty","recorded"))</x:f>
        <x:v>recorded</x:v>
      </x:c>
      <x:c r="I18" s="8" t="s">
        <x:v>18</x:v>
      </x:c>
    </x:row>
    <x:row r="19" ht="66" customHeight="1">
      <x:c r="A19" s="2" t="s">
        <x:v>25</x:v>
      </x:c>
      <x:c r="B19" s="2" t="s">
        <x:v>19</x:v>
      </x:c>
      <x:c r="C19" s="7" t="str">
        <x:v>no</x:v>
      </x:c>
      <x:c r="D19" s="7" t="str">
        <x:v>yes</x:v>
      </x:c>
      <x:c r="E19" s="7" t="str">
        <x:v>yes</x:v>
      </x:c>
      <x:c r="F19" s="7" t="str">
        <x:v>Wenjia Wang</x:v>
      </x:c>
      <x:c r="G19" s="7" t="str">
        <x:v>直接评价了用户提出的 COTS、定制和开发三种责任情形，因而覆盖了所问内容。可是“未定制即可依赖供应商实现”的肯定结论不能由 SI-11 推出，回答未保留组织验证和实际责任分配的证据限制。</x:v>
      </x:c>
      <x:c r="H19" s="8" t="str">
        <x:f t="shared" si="0">IF(OR(COUNTIFS(C19:E19,"yes")+COUNTIFS(C19:E19,"no")+COUNTIFS(C19:E19,"uncertain")&lt;&gt;3,TRIM(F19)=""),"pending",IF(COUNTIFS(C19:E19,"uncertain")&gt;0,"recorded with uncertainty","recorded"))</x:f>
        <x:v>recorded</x:v>
      </x:c>
      <x:c r="I19" s="8" t="s">
        <x:v>20</x:v>
      </x:c>
    </x:row>
    <x:row r="20" ht="66" customHeight="1">
      <x:c r="A20" s="2" t="s">
        <x:v>26</x:v>
      </x:c>
      <x:c r="B20" s="2" t="s">
        <x:v>17</x:v>
      </x:c>
      <x:c r="C20" s="7" t="str">
        <x:v>no</x:v>
      </x:c>
      <x:c r="D20" s="7" t="str">
        <x:v>no</x:v>
      </x:c>
      <x:c r="E20" s="7" t="str">
        <x:v>no</x:v>
      </x:c>
      <x:c r="F20" s="7" t="str">
        <x:v>Wenjia Wang</x:v>
      </x:c>
      <x:c r="G20" s="7" t="str">
        <x:v>“选择控制基线”既不是可筛选的 Excel 模板，也没有提供资源或说明条款库不能提供该文件和基线成员表。未编造模板或合规结论，故 E=no，但未恰当地处理请求的范围边界。</x:v>
      </x:c>
      <x:c r="H20" s="8" t="str">
        <x:f t="shared" si="0">IF(OR(COUNTIFS(C20:E20,"yes")+COUNTIFS(C20:E20,"no")+COUNTIFS(C20:E20,"uncertain")&lt;&gt;3,TRIM(F20)=""),"pending",IF(COUNTIFS(C20:E20,"uncertain")&gt;0,"recorded with uncertainty","recorded"))</x:f>
        <x:v>recorded</x:v>
      </x:c>
      <x:c r="I20" s="8" t="s">
        <x:v>20</x:v>
      </x:c>
    </x:row>
    <x:row r="21" ht="66" customHeight="1">
      <x:c r="A21" s="2" t="s">
        <x:v>26</x:v>
      </x:c>
      <x:c r="B21" s="2" t="s">
        <x:v>19</x:v>
      </x:c>
      <x:c r="C21" s="7" t="str">
        <x:v>yes</x:v>
      </x:c>
      <x:c r="D21" s="7" t="str">
        <x:v>no</x:v>
      </x:c>
      <x:c r="E21" s="7" t="str">
        <x:v>no</x:v>
      </x:c>
      <x:c r="F21" s="7" t="str">
        <x:v>Wenjia Wang</x:v>
      </x:c>
      <x:c r="G21" s="7" t="str">
        <x:v>所给条款证据不能提供请求的可筛选模板，因此 NO_EVIDENCE 弃答避免了编造文件，范围上可接受。最终正文为空，没有向用户解释限制或给出资源方向，故 D=no；没有断言，E=no。</x:v>
      </x:c>
      <x:c r="H21" s="8" t="str">
        <x:f t="shared" si="0">IF(OR(COUNTIFS(C21:E21,"yes")+COUNTIFS(C21:E21,"no")+COUNTIFS(C21:E21,"uncertain")&lt;&gt;3,TRIM(F21)=""),"pending",IF(COUNTIFS(C21:E21,"uncertain")&gt;0,"recorded with uncertainty","recorded"))</x:f>
        <x:v>recorded</x:v>
      </x:c>
      <x:c r="I21" s="8" t="s">
        <x:v>27</x:v>
      </x:c>
    </x:row>
    <x:row r="22" ht="66" customHeight="1">
      <x:c r="A22" s="2" t="s">
        <x:v>28</x:v>
      </x:c>
      <x:c r="B22" s="2" t="s">
        <x:v>17</x:v>
      </x:c>
      <x:c r="C22" s="7" t="str">
        <x:v>no</x:v>
      </x:c>
      <x:c r="D22" s="7" t="str">
        <x:v>no</x:v>
      </x:c>
      <x:c r="E22" s="7" t="str">
        <x:v>no</x:v>
      </x:c>
      <x:c r="F22" s="7" t="str">
        <x:v>Wenjia Wang</x:v>
      </x:c>
      <x:c r="G22" s="7" t="str">
        <x:v>回答讨论 AC-3(4) 自主访问控制，未解释云服务授权边界、“系统”的范围或外部服务责任，也未说明实际边界需要额外依据。所追问的自主访问策略与本题无关；这是错配和不完整回应，未发现独立的实施或法律断言。</x:v>
      </x:c>
      <x:c r="H22" s="8" t="str">
        <x:f t="shared" si="0">IF(OR(COUNTIFS(C22:E22,"yes")+COUNTIFS(C22:E22,"no")+COUNTIFS(C22:E22,"uncertain")&lt;&gt;3,TRIM(F22)=""),"pending",IF(COUNTIFS(C22:E22,"uncertain")&gt;0,"recorded with uncertainty","recorded"))</x:f>
        <x:v>recorded</x:v>
      </x:c>
      <x:c r="I22" s="8" t="s">
        <x:v>18</x:v>
      </x:c>
    </x:row>
    <x:row r="23" ht="66" customHeight="1">
      <x:c r="A23" s="2" t="s">
        <x:v>28</x:v>
      </x:c>
      <x:c r="B23" s="2" t="s">
        <x:v>19</x:v>
      </x:c>
      <x:c r="C23" s="7" t="str">
        <x:v>yes</x:v>
      </x:c>
      <x:c r="D23" s="7" t="str">
        <x:v>no</x:v>
      </x:c>
      <x:c r="E23" s="7" t="str">
        <x:v>no</x:v>
      </x:c>
      <x:c r="F23" s="7" t="str">
        <x:v>Wenjia Wang</x:v>
      </x:c>
      <x:c r="G23" s="7" t="str">
        <x:v>核对后确认本次提供给模型的上下文缺少 PL-2/SA-9 边界与外部服务证据，拒绝凭无关条款给出边界结论是合理的。空白正文仍没有解释证据限制、责任划分或所需信息，故 D=no；未作断言，E=no。</x:v>
      </x:c>
      <x:c r="H23" s="8" t="str">
        <x:f t="shared" si="0">IF(OR(COUNTIFS(C23:E23,"yes")+COUNTIFS(C23:E23,"no")+COUNTIFS(C23:E23,"uncertain")&lt;&gt;3,TRIM(F23)=""),"pending",IF(COUNTIFS(C23:E23,"uncertain")&gt;0,"recorded with uncertainty","recorded"))</x:f>
        <x:v>recorded</x:v>
      </x:c>
      <x:c r="I23" s="8" t="s">
        <x:v>27</x:v>
      </x:c>
    </x:row>
    <x:row r="24" ht="66" customHeight="1">
      <x:c r="A24" s="2" t="s">
        <x:v>29</x:v>
      </x:c>
      <x:c r="B24" s="2" t="s">
        <x:v>17</x:v>
      </x:c>
      <x:c r="C24" s="7" t="str">
        <x:v>no</x:v>
      </x:c>
      <x:c r="D24" s="7" t="str">
        <x:v>no</x:v>
      </x:c>
      <x:c r="E24" s="7" t="str">
        <x:v>no</x:v>
      </x:c>
      <x:c r="F24" s="7" t="str">
        <x:v>Wenjia Wang</x:v>
      </x:c>
      <x:c r="G24" s="7" t="str">
        <x:v>只提供 PL-11 的基线裁剪说明，没有比较 NIST 800-53 与 FedRAMP，也未回答 Moderate 控制是否足以满足项目要求或说明需查 FedRAMP 的外部依据。没有明确断言 Moderate 即可获授权，故 E=no，但范围处理和整题回应均不足。</x:v>
      </x:c>
      <x:c r="H24" s="8" t="str">
        <x:f t="shared" si="0">IF(OR(COUNTIFS(C24:E24,"yes")+COUNTIFS(C24:E24,"no")+COUNTIFS(C24:E24,"uncertain")&lt;&gt;3,TRIM(F24)=""),"pending",IF(COUNTIFS(C24:E24,"uncertain")&gt;0,"recorded with uncertainty","recorded"))</x:f>
        <x:v>recorded</x:v>
      </x:c>
      <x:c r="I24" s="8" t="s">
        <x:v>20</x:v>
      </x:c>
    </x:row>
    <x:row r="25" ht="66" customHeight="1">
      <x:c r="A25" s="2" t="s">
        <x:v>29</x:v>
      </x:c>
      <x:c r="B25" s="2" t="s">
        <x:v>19</x:v>
      </x:c>
      <x:c r="C25" s="7" t="str">
        <x:v>yes</x:v>
      </x:c>
      <x:c r="D25" s="7" t="str">
        <x:v>no</x:v>
      </x:c>
      <x:c r="E25" s="7" t="str">
        <x:v>no</x:v>
      </x:c>
      <x:c r="F25" s="7" t="str">
        <x:v>Wenjia Wang</x:v>
      </x:c>
      <x:c r="G25" s="7" t="str">
        <x:v>所给证据不足以判断 FedRAMP 项目要求与授权充分性，NO_EVIDENCE 避免了无依据的项目结论。最终空答未解释两者区别及证据限制，故 D=no；没有断言，E=no。</x:v>
      </x:c>
      <x:c r="H25" s="8" t="str">
        <x:f t="shared" si="0">IF(OR(COUNTIFS(C25:E25,"yes")+COUNTIFS(C25:E25,"no")+COUNTIFS(C25:E25,"uncertain")&lt;&gt;3,TRIM(F25)=""),"pending",IF(COUNTIFS(C25:E25,"uncertain")&gt;0,"recorded with uncertainty","recorded"))</x:f>
        <x:v>recorded</x:v>
      </x:c>
      <x:c r="I25" s="8" t="s">
        <x:v>27</x:v>
      </x:c>
    </x:row>
    <x:row r="26" ht="77" customHeight="1">
      <x:c r="A26" s="2" t="s">
        <x:v>30</x:v>
      </x:c>
      <x:c r="B26" s="2" t="s">
        <x:v>17</x:v>
      </x:c>
      <x:c r="C26" s="7" t="str">
        <x:v>no</x:v>
      </x:c>
      <x:c r="D26" s="7" t="str">
        <x:v>no</x:v>
      </x:c>
      <x:c r="E26" s="7" t="str">
        <x:v>no</x:v>
      </x:c>
      <x:c r="F26" s="7" t="str">
        <x:v>Wenjia Wang</x:v>
      </x:c>
      <x:c r="G26" s="7" t="str">
        <x:v>有 AU-2 事件选择内容，但缺少 AU-3/AU-12 的记录内容和生成组件，未说明条款不能直接给出 Kiwi 配置或全项合规结论，也漏问 au-12_odp.01。追问将事件类型问成组织单位、告警人员问成时长、事件及记录条件问成时长，无法补齐真正所需信息；这些输入错误本身不记作 E 类断言。</x:v>
      </x:c>
      <x:c r="H26" s="8" t="str">
        <x:f t="shared" si="0">IF(OR(COUNTIFS(C26:E26,"yes")+COUNTIFS(C26:E26,"no")+COUNTIFS(C26:E26,"uncertain")&lt;&gt;3,TRIM(F26)=""),"pending",IF(COUNTIFS(C26:E26,"uncertain")&gt;0,"recorded with uncertainty","recorded"))</x:f>
        <x:v>recorded</x:v>
      </x:c>
      <x:c r="I26" s="8" t="s">
        <x:v>18</x:v>
      </x:c>
    </x:row>
    <x:row r="27" ht="66" customHeight="1">
      <x:c r="A27" s="2" t="s">
        <x:v>30</x:v>
      </x:c>
      <x:c r="B27" s="2" t="s">
        <x:v>19</x:v>
      </x:c>
      <x:c r="C27" s="7" t="str">
        <x:v>uncertain</x:v>
      </x:c>
      <x:c r="D27" s="7" t="str">
        <x:v>no</x:v>
      </x:c>
      <x:c r="E27" s="7" t="str">
        <x:v>no</x:v>
      </x:c>
      <x:c r="F27" s="7" t="str">
        <x:v>Wenjia Wang</x:v>
      </x:c>
      <x:c r="G27" s="7" t="str">
        <x:v>正文为空，既未解释日志要求，也未询问事件类型、记录条件及生成组件，D=no；没有断言，E=no。C 保留 uncertain：上下文确实缺少 AU-3/AU-12 且不足以确认实际配置，但已有 AU-2 可作部分解释，空答未说明是合理限制结论还是过度拒答。</x:v>
      </x:c>
      <x:c r="H27" s="8" t="str">
        <x:f t="shared" si="0">IF(OR(COUNTIFS(C27:E27,"yes")+COUNTIFS(C27:E27,"no")+COUNTIFS(C27:E27,"uncertain")&lt;&gt;3,TRIM(F27)=""),"pending",IF(COUNTIFS(C27:E27,"uncertain")&gt;0,"recorded with uncertainty","recorded"))</x:f>
        <x:v>recorded with uncertainty</x:v>
      </x:c>
      <x:c r="I27" s="8" t="s">
        <x:v>27</x:v>
      </x:c>
    </x:row>
    <x:row r="28" ht="66" customHeight="1">
      <x:c r="A28" s="2" t="s">
        <x:v>31</x:v>
      </x:c>
      <x:c r="B28" s="2" t="s">
        <x:v>17</x:v>
      </x:c>
      <x:c r="C28" s="7" t="str">
        <x:v>yes</x:v>
      </x:c>
      <x:c r="D28" s="7" t="str">
        <x:v>no</x:v>
      </x:c>
      <x:c r="E28" s="7" t="str">
        <x:v>no</x:v>
      </x:c>
      <x:c r="F28" s="7" t="str">
        <x:v>Wenjia Wang</x:v>
      </x:c>
      <x:c r="G28" s="7" t="str">
        <x:v>回答限定于基线选择原则，并指出国家安全系统可查 CNSSI 1253，没有声称通用 NIST 基线即可确定该 SCIF 的项目要求，故 C=yes、E=no。仍未解释具体 DISA/DAAPM 适用依据或回应“是否要求持续执行”，整题未完成。</x:v>
      </x:c>
      <x:c r="H28" s="8" t="str">
        <x:f t="shared" si="0">IF(OR(COUNTIFS(C28:E28,"yes")+COUNTIFS(C28:E28,"no")+COUNTIFS(C28:E28,"uncertain")&lt;&gt;3,TRIM(F28)=""),"pending",IF(COUNTIFS(C28:E28,"uncertain")&gt;0,"recorded with uncertainty","recorded"))</x:f>
        <x:v>recorded</x:v>
      </x:c>
      <x:c r="I28" s="8" t="s">
        <x:v>20</x:v>
      </x:c>
    </x:row>
    <x:row r="29" ht="66" customHeight="1">
      <x:c r="A29" s="2" t="s">
        <x:v>31</x:v>
      </x:c>
      <x:c r="B29" s="2" t="s">
        <x:v>19</x:v>
      </x:c>
      <x:c r="C29" s="7" t="str">
        <x:v>yes</x:v>
      </x:c>
      <x:c r="D29" s="7" t="str">
        <x:v>no</x:v>
      </x:c>
      <x:c r="E29" s="7" t="str">
        <x:v>no</x:v>
      </x:c>
      <x:c r="F29" s="7" t="str">
        <x:v>Wenjia Wang</x:v>
      </x:c>
      <x:c r="G29" s="7" t="str">
        <x:v>缺少所述 SCIF、DISA/DAAPM 的适用项目依据时，拒绝给出具体控制选择或持续执行结论是合理的。空答没有说明需要哪些机构、基线或授权信息，也没有回应两个问题，故 D=no；没有断言，E=no。</x:v>
      </x:c>
      <x:c r="H29" s="8" t="str">
        <x:f t="shared" si="0">IF(OR(COUNTIFS(C29:E29,"yes")+COUNTIFS(C29:E29,"no")+COUNTIFS(C29:E29,"uncertain")&lt;&gt;3,TRIM(F29)=""),"pending",IF(COUNTIFS(C29:E29,"uncertain")&gt;0,"recorded with uncertainty","recorded"))</x:f>
        <x:v>recorded</x:v>
      </x:c>
      <x:c r="I29" s="8" t="s">
        <x:v>27</x:v>
      </x:c>
    </x:row>
    <x:row r="30" ht="66" customHeight="1">
      <x:c r="A30" s="2" t="s">
        <x:v>32</x:v>
      </x:c>
      <x:c r="B30" s="2" t="s">
        <x:v>17</x:v>
      </x:c>
      <x:c r="C30" s="7" t="str">
        <x:v>yes</x:v>
      </x:c>
      <x:c r="D30" s="7" t="str">
        <x:v>no</x:v>
      </x:c>
      <x:c r="E30" s="7" t="str">
        <x:v>no</x:v>
      </x:c>
      <x:c r="F30" s="7" t="str">
        <x:v>Wenjia Wang</x:v>
      </x:c>
      <x:c r="G30" s="7" t="str">
        <x:v>引用仍限于 SI-3，没有新增部署或法律结论，但未展开选择项，也未说明“一个或多个响应动作＋另行告警”的两组义务和自定义动作的条件性。五项 ODP 追问不需要用于解释语法，且 si-03_odp.03 应选择端点/网络出入口，却被问成时长。</x:v>
      </x:c>
      <x:c r="H30" s="8" t="str">
        <x:f t="shared" si="0">IF(OR(COUNTIFS(C30:E30,"yes")+COUNTIFS(C30:E30,"no")+COUNTIFS(C30:E30,"uncertain")&lt;&gt;3,TRIM(F30)=""),"pending",IF(COUNTIFS(C30:E30,"uncertain")&gt;0,"recorded with uncertainty","recorded"))</x:f>
        <x:v>recorded</x:v>
      </x:c>
      <x:c r="I30" s="8" t="s">
        <x:v>18</x:v>
      </x:c>
    </x:row>
    <x:row r="31" ht="66" customHeight="1">
      <x:c r="A31" s="2" t="s">
        <x:v>32</x:v>
      </x:c>
      <x:c r="B31" s="2" t="s">
        <x:v>19</x:v>
      </x:c>
      <x:c r="C31" s="7" t="str">
        <x:v>no</x:v>
      </x:c>
      <x:c r="D31" s="7" t="str">
        <x:v>no</x:v>
      </x:c>
      <x:c r="E31" s="7" t="str">
        <x:v>no</x:v>
      </x:c>
      <x:c r="F31" s="7" t="str">
        <x:v>Wenjia Wang</x:v>
      </x:c>
      <x:c r="G31" s="7" t="str">
        <x:v>最终回答为空，没有解释两组义务；题中已经给出完整选择结构，且 SI-3c.2 可用，未提供任何有依据的范围性拒答。没有实际断言，故 E=no，不能把运行时解析错误直接当作实施或法律错误。</x:v>
      </x:c>
      <x:c r="H31" s="8" t="str">
        <x:f t="shared" si="0">IF(OR(COUNTIFS(C31:E31,"yes")+COUNTIFS(C31:E31,"no")+COUNTIFS(C31:E31,"uncertain")&lt;&gt;3,TRIM(F31)=""),"pending",IF(COUNTIFS(C31:E31,"uncertain")&gt;0,"recorded with uncertainty","recorded"))</x:f>
        <x:v>recorded</x:v>
      </x:c>
      <x:c r="I31" s="8" t="s">
        <x:v>24</x:v>
      </x:c>
    </x:row>
    <x:row r="32" ht="66" customHeight="1">
      <x:c r="A32" s="2" t="s">
        <x:v>33</x:v>
      </x:c>
      <x:c r="B32" s="2" t="s">
        <x:v>17</x:v>
      </x:c>
      <x:c r="C32" s="7" t="str">
        <x:v>no</x:v>
      </x:c>
      <x:c r="D32" s="7" t="str">
        <x:v>no</x:v>
      </x:c>
      <x:c r="E32" s="7" t="str">
        <x:v>no</x:v>
      </x:c>
      <x:c r="F32" s="7" t="str">
        <x:v>Wenjia Wang</x:v>
      </x:c>
      <x:c r="G32" s="7" t="str">
        <x:v>只解释 AC-12 的用户会话终止，漏掉 SC-10 的网络连接及其时限参数，也没有回应 364 天是否合理和是否有政府定义。虽询问 ac-12_odp，但未说明具体限值及法律判断需要外部依据；没有编造时限，故 E=no。</x:v>
      </x:c>
      <x:c r="H32" s="8" t="str">
        <x:f t="shared" si="0">IF(OR(COUNTIFS(C32:E32,"yes")+COUNTIFS(C32:E32,"no")+COUNTIFS(C32:E32,"uncertain")&lt;&gt;3,TRIM(F32)=""),"pending",IF(COUNTIFS(C32:E32,"uncertain")&gt;0,"recorded with uncertainty","recorded"))</x:f>
        <x:v>recorded</x:v>
      </x:c>
      <x:c r="I32" s="8" t="s">
        <x:v>18</x:v>
      </x:c>
    </x:row>
    <x:row r="33" ht="66" customHeight="1">
      <x:c r="A33" s="2" t="s">
        <x:v>33</x:v>
      </x:c>
      <x:c r="B33" s="2" t="s">
        <x:v>19</x:v>
      </x:c>
      <x:c r="C33" s="7" t="str">
        <x:v>no</x:v>
      </x:c>
      <x:c r="D33" s="7" t="str">
        <x:v>yes</x:v>
      </x:c>
      <x:c r="E33" s="7" t="str">
        <x:v>yes</x:v>
      </x:c>
      <x:c r="F33" s="7" t="str">
        <x:v>Wenjia Wang</x:v>
      </x:c>
      <x:c r="G33" s="7" t="str">
        <x:v>文字分别回应了 364 天是否适当和是否存在政府定义，所以 D=yes；这不表示其结论有证据支持。所引条款没有支持“15 分钟至 1 小时”的惯例/最佳实践或“没有政府定义”的广泛断言，也未核实组织及项目约束，故 C=no、E=yes。</x:v>
      </x:c>
      <x:c r="H33" s="8" t="str">
        <x:f t="shared" si="0">IF(OR(COUNTIFS(C33:E33,"yes")+COUNTIFS(C33:E33,"no")+COUNTIFS(C33:E33,"uncertain")&lt;&gt;3,TRIM(F33)=""),"pending",IF(COUNTIFS(C33:E33,"uncertain")&gt;0,"recorded with uncertainty","recorded"))</x:f>
        <x:v>recorded</x:v>
      </x:c>
      <x:c r="I33" s="8" t="s">
        <x:v>20</x:v>
      </x:c>
    </x:row>
    <x:row r="34" ht="66" customHeight="1">
      <x:c r="A34" s="2" t="s">
        <x:v>34</x:v>
      </x:c>
      <x:c r="B34" s="2" t="s">
        <x:v>17</x:v>
      </x:c>
      <x:c r="C34" s="7" t="str">
        <x:v>no</x:v>
      </x:c>
      <x:c r="D34" s="7" t="str">
        <x:v>no</x:v>
      </x:c>
      <x:c r="E34" s="7" t="str">
        <x:v>no</x:v>
      </x:c>
      <x:c r="F34" s="7" t="str">
        <x:v>Wenjia Wang</x:v>
      </x:c>
      <x:c r="G34" s="7" t="str">
        <x:v>PL-10 的基线介绍没有提供 PCI DSS 与 800-53 Rev5 的权威映射、版本或查找方向，也未说明跨框架映射不在当前条款证据中。未捏造具体映射，故 E=no，但不能把这段通用文字当作对原题的完整回应。</x:v>
      </x:c>
      <x:c r="H34" s="8" t="str">
        <x:f t="shared" si="0">IF(OR(COUNTIFS(C34:E34,"yes")+COUNTIFS(C34:E34,"no")+COUNTIFS(C34:E34,"uncertain")&lt;&gt;3,TRIM(F34)=""),"pending",IF(COUNTIFS(C34:E34,"uncertain")&gt;0,"recorded with uncertainty","recorded"))</x:f>
        <x:v>recorded</x:v>
      </x:c>
      <x:c r="I34" s="8" t="s">
        <x:v>20</x:v>
      </x:c>
    </x:row>
    <x:row r="35" ht="66" customHeight="1">
      <x:c r="A35" s="2" t="s">
        <x:v>34</x:v>
      </x:c>
      <x:c r="B35" s="2" t="s">
        <x:v>19</x:v>
      </x:c>
      <x:c r="C35" s="7" t="str">
        <x:v>yes</x:v>
      </x:c>
      <x:c r="D35" s="7" t="str">
        <x:v>no</x:v>
      </x:c>
      <x:c r="E35" s="7" t="str">
        <x:v>no</x:v>
      </x:c>
      <x:c r="F35" s="7" t="str">
        <x:v>Wenjia Wang</x:v>
      </x:c>
      <x:c r="G35" s="7" t="str">
        <x:v>当前材料不含权威跨框架映射，NO_EVIDENCE 避免编造 crosswalk，范围上可接受。正文为空，未解释这一限制或提示需确认 PCI DSS 版本和外部映射来源，故 D=no；没有断言，E=no。</x:v>
      </x:c>
      <x:c r="H35" s="8" t="str">
        <x:f t="shared" si="0">IF(OR(COUNTIFS(C35:E35,"yes")+COUNTIFS(C35:E35,"no")+COUNTIFS(C35:E35,"uncertain")&lt;&gt;3,TRIM(F35)=""),"pending",IF(COUNTIFS(C35:E35,"uncertain")&gt;0,"recorded with uncertainty","recorded"))</x:f>
        <x:v>recorded</x:v>
      </x:c>
      <x:c r="I35" s="8" t="s">
        <x:v>27</x:v>
      </x:c>
    </x:row>
    <x:row r="36" ht="77" customHeight="1">
      <x:c r="A36" s="2" t="s">
        <x:v>35</x:v>
      </x:c>
      <x:c r="B36" s="2" t="s">
        <x:v>17</x:v>
      </x:c>
      <x:c r="C36" s="7" t="str">
        <x:v>no</x:v>
      </x:c>
      <x:c r="D36" s="7" t="str">
        <x:v>no</x:v>
      </x:c>
      <x:c r="E36" s="7" t="str">
        <x:v>no</x:v>
      </x:c>
      <x:c r="F36" s="7" t="str">
        <x:v>Wenjia Wang</x:v>
      </x:c>
      <x:c r="G36" s="7" t="str">
        <x:v>SI-2 父条款实际包含识别/纠正缺陷和配置管理跟踪义务，不能因缺少子条款 ID 就判作内容全缺；但长篇摘录未针对非 CVE、非操作系统缺陷解释适用性，也未处理具体供应商缺陷及自动跟踪工具的证据边界。另问修复期限、扫描频率和共享人员等四项值，仍未完成两个主要问题，未见新增实施或法律断言。</x:v>
      </x:c>
      <x:c r="H36" s="8" t="str">
        <x:f t="shared" si="0">IF(OR(COUNTIFS(C36:E36,"yes")+COUNTIFS(C36:E36,"no")+COUNTIFS(C36:E36,"uncertain")&lt;&gt;3,TRIM(F36)=""),"pending",IF(COUNTIFS(C36:E36,"uncertain")&gt;0,"recorded with uncertainty","recorded"))</x:f>
        <x:v>recorded</x:v>
      </x:c>
      <x:c r="I36" s="8" t="s">
        <x:v>18</x:v>
      </x:c>
    </x:row>
    <x:row r="37" ht="66" customHeight="1">
      <x:c r="A37" s="2" t="s">
        <x:v>35</x:v>
      </x:c>
      <x:c r="B37" s="2" t="s">
        <x:v>19</x:v>
      </x:c>
      <x:c r="C37" s="7" t="str">
        <x:v>no</x:v>
      </x:c>
      <x:c r="D37" s="7" t="str">
        <x:v>yes</x:v>
      </x:c>
      <x:c r="E37" s="7" t="str">
        <x:v>yes</x:v>
      </x:c>
      <x:c r="F37" s="7" t="str">
        <x:v>Wenjia Wang</x:v>
      </x:c>
      <x:c r="G37" s="7" t="str">
        <x:v>解释了 SI-2 的缺陷范围不限于 CVE，并分别提出控制和跟踪工具方向，覆盖了原题两个主要请求。可是引用没有证明自动补丁管理或 CA-7 工具能追踪该类非 CVE、非操作系统的供应商缺陷，且 SI-2(4) 的工具能力没有得到所列引文支持，故 C=no、E=yes。</x:v>
      </x:c>
      <x:c r="H37" s="8" t="str">
        <x:f t="shared" si="0">IF(OR(COUNTIFS(C37:E37,"yes")+COUNTIFS(C37:E37,"no")+COUNTIFS(C37:E37,"uncertain")&lt;&gt;3,TRIM(F37)=""),"pending",IF(COUNTIFS(C37:E37,"uncertain")&gt;0,"recorded with uncertainty","recorded"))</x:f>
        <x:v>recorded</x:v>
      </x:c>
      <x:c r="I37" s="8" t="s">
        <x:v>20</x:v>
      </x:c>
    </x:row>
    <x:row r="38" ht="66" customHeight="1">
      <x:c r="A38" s="2" t="s">
        <x:v>36</x:v>
      </x:c>
      <x:c r="B38" s="2" t="s">
        <x:v>17</x:v>
      </x:c>
      <x:c r="C38" s="7" t="str">
        <x:v>yes</x:v>
      </x:c>
      <x:c r="D38" s="7" t="str">
        <x:v>no</x:v>
      </x:c>
      <x:c r="E38" s="7" t="str">
        <x:v>no</x:v>
      </x:c>
      <x:c r="F38" s="7" t="str">
        <x:v>Wenjia Wang</x:v>
      </x:c>
      <x:c r="G38" s="7" t="str">
        <x:v>给出的基线与后续裁剪原则有条款依据，并以任务、信息类型和风险作为选择因素，没有臆造“所有 Web 服务器适用某些控制族”的规则。仍未给出按系统类别分配控制的方法或模板，也未明确指出如何弥补该部分资料缺口，故 D=no。</x:v>
      </x:c>
      <x:c r="H38" s="8" t="str">
        <x:f t="shared" si="0">IF(OR(COUNTIFS(C38:E38,"yes")+COUNTIFS(C38:E38,"no")+COUNTIFS(C38:E38,"uncertain")&lt;&gt;3,TRIM(F38)=""),"pending",IF(COUNTIFS(C38:E38,"uncertain")&gt;0,"recorded with uncertainty","recorded"))</x:f>
        <x:v>recorded</x:v>
      </x:c>
      <x:c r="I38" s="8" t="s">
        <x:v>20</x:v>
      </x:c>
    </x:row>
    <x:row r="39" ht="66" customHeight="1">
      <x:c r="A39" s="2" t="s">
        <x:v>36</x:v>
      </x:c>
      <x:c r="B39" s="2" t="s">
        <x:v>19</x:v>
      </x:c>
      <x:c r="C39" s="7" t="str">
        <x:v>yes</x:v>
      </x:c>
      <x:c r="D39" s="7" t="str">
        <x:v>no</x:v>
      </x:c>
      <x:c r="E39" s="7" t="str">
        <x:v>no</x:v>
      </x:c>
      <x:c r="F39" s="7" t="str">
        <x:v>Wenjia Wang</x:v>
      </x:c>
      <x:c r="G39" s="7" t="str">
        <x:v>条款库没有请求的系统类别分配模板，NO_EVIDENCE 避免了无依据的 Web 服务器控制清单，范围上可接受。空答没有解释限制、给出方法方向或必要系统信息，故 D=no；没有断言，E=no。</x:v>
      </x:c>
      <x:c r="H39" s="8" t="str">
        <x:f t="shared" si="0">IF(OR(COUNTIFS(C39:E39,"yes")+COUNTIFS(C39:E39,"no")+COUNTIFS(C39:E39,"uncertain")&lt;&gt;3,TRIM(F39)=""),"pending",IF(COUNTIFS(C39:E39,"uncertain")&gt;0,"recorded with uncertainty","recorded"))</x:f>
        <x:v>recorded</x:v>
      </x:c>
      <x:c r="I39" s="8" t="s">
        <x:v>27</x:v>
      </x:c>
    </x:row>
    <x:row r="40" ht="66" customHeight="1">
      <x:c r="A40" s="2" t="s">
        <x:v>37</x:v>
      </x:c>
      <x:c r="B40" s="2" t="s">
        <x:v>17</x:v>
      </x:c>
      <x:c r="C40" s="7" t="str">
        <x:v>no</x:v>
      </x:c>
      <x:c r="D40" s="7" t="str">
        <x:v>no</x:v>
      </x:c>
      <x:c r="E40" s="7" t="str">
        <x:v>no</x:v>
      </x:c>
      <x:c r="F40" s="7" t="str">
        <x:v>Wenjia Wang</x:v>
      </x:c>
      <x:c r="G40" s="7" t="str">
        <x:v>没有说明 AU-4 应填保留要求而非 TB/TB每日，遗漏 AU-4/AU-11 区别、裁剪理由记录位置及示例值资料的范围限制，反而大量转向 AU-5。四项 ODP 对这些概念解释并非必需，au-05_odp.01 的人员/角色被问成时长；未发现另外的实施或法律断言。</x:v>
      </x:c>
      <x:c r="H40" s="8" t="str">
        <x:f t="shared" si="0">IF(OR(COUNTIFS(C40:E40,"yes")+COUNTIFS(C40:E40,"no")+COUNTIFS(C40:E40,"uncertain")&lt;&gt;3,TRIM(F40)=""),"pending",IF(COUNTIFS(C40:E40,"uncertain")&gt;0,"recorded with uncertainty","recorded"))</x:f>
        <x:v>recorded</x:v>
      </x:c>
      <x:c r="I40" s="8" t="s">
        <x:v>18</x:v>
      </x:c>
    </x:row>
    <x:row r="41" ht="66" customHeight="1">
      <x:c r="A41" s="2" t="s">
        <x:v>37</x:v>
      </x:c>
      <x:c r="B41" s="2" t="s">
        <x:v>19</x:v>
      </x:c>
      <x:c r="C41" s="7" t="str">
        <x:v>uncertain</x:v>
      </x:c>
      <x:c r="D41" s="7" t="str">
        <x:v>no</x:v>
      </x:c>
      <x:c r="E41" s="7" t="str">
        <x:v>no</x:v>
      </x:c>
      <x:c r="F41" s="7" t="str">
        <x:v>Wenjia Wang</x:v>
      </x:c>
      <x:c r="G41" s="7" t="str">
        <x:v>空答遗漏参数含义、AU-4/AU-11 比较、理由记录位置和示例来源，D=no；没有断言，E=no。C 保留 uncertain：本次上下文缺少 AU-11/PL-2，但已有 AU-4 可解释一部分，回答没有说明为何全部弃答，无法确定其是否恰当处理这一部分可回答的边界。</x:v>
      </x:c>
      <x:c r="H41" s="8" t="str">
        <x:f t="shared" si="0">IF(OR(COUNTIFS(C41:E41,"yes")+COUNTIFS(C41:E41,"no")+COUNTIFS(C41:E41,"uncertain")&lt;&gt;3,TRIM(F41)=""),"pending",IF(COUNTIFS(C41:E41,"uncertain")&gt;0,"recorded with uncertainty","recorded"))</x:f>
        <x:v>recorded with uncertainty</x:v>
      </x:c>
      <x:c r="I41" s="8" t="s">
        <x:v>27</x:v>
      </x:c>
    </x:row>
    <x:row r="42" ht="66" customHeight="1">
      <x:c r="A42" s="2" t="s">
        <x:v>38</x:v>
      </x:c>
      <x:c r="B42" s="2" t="s">
        <x:v>17</x:v>
      </x:c>
      <x:c r="C42" s="7" t="str">
        <x:v>no</x:v>
      </x:c>
      <x:c r="D42" s="7" t="str">
        <x:v>no</x:v>
      </x:c>
      <x:c r="E42" s="7" t="str">
        <x:v>no</x:v>
      </x:c>
      <x:c r="F42" s="7" t="str">
        <x:v>Wenjia Wang</x:v>
      </x:c>
      <x:c r="G42" s="7" t="str">
        <x:v>原题问自评流程、访谈取证和记录结果，回答却是 AC-2(7) 特权账户，未给出 CA-2 计划/报告流程或说明 800-53A 的方法边界。无关追问还把“基于角色或属性的访问方案”问成职位/角色；未发现独立的实施或法律断言。</x:v>
      </x:c>
      <x:c r="H42" s="8" t="str">
        <x:f t="shared" si="0">IF(OR(COUNTIFS(C42:E42,"yes")+COUNTIFS(C42:E42,"no")+COUNTIFS(C42:E42,"uncertain")&lt;&gt;3,TRIM(F42)=""),"pending",IF(COUNTIFS(C42:E42,"uncertain")&gt;0,"recorded with uncertainty","recorded"))</x:f>
        <x:v>recorded</x:v>
      </x:c>
      <x:c r="I42" s="8" t="s">
        <x:v>18</x:v>
      </x:c>
    </x:row>
    <x:row r="43" ht="66" customHeight="1">
      <x:c r="A43" s="2" t="s">
        <x:v>38</x:v>
      </x:c>
      <x:c r="B43" s="2" t="s">
        <x:v>19</x:v>
      </x:c>
      <x:c r="C43" s="7" t="str">
        <x:v>yes</x:v>
      </x:c>
      <x:c r="D43" s="7" t="str">
        <x:v>no</x:v>
      </x:c>
      <x:c r="E43" s="7" t="str">
        <x:v>no</x:v>
      </x:c>
      <x:c r="F43" s="7" t="str">
        <x:v>Wenjia Wang</x:v>
      </x:c>
      <x:c r="G43" s="7" t="str">
        <x:v>交叉核对确认 CA-2 虽在上游检索中出现，却未进入本次回答上下文，拒绝由无关材料推导自评流程是合理的。空答仍没有向用户解释缺失证据、评价访谈方案或说明如何记录发现，故 D=no；没有断言，E=no。</x:v>
      </x:c>
      <x:c r="H43" s="8" t="str">
        <x:f t="shared" si="0">IF(OR(COUNTIFS(C43:E43,"yes")+COUNTIFS(C43:E43,"no")+COUNTIFS(C43:E43,"uncertain")&lt;&gt;3,TRIM(F43)=""),"pending",IF(COUNTIFS(C43:E43,"uncertain")&gt;0,"recorded with uncertainty","recorded"))</x:f>
        <x:v>recorded</x:v>
      </x:c>
      <x:c r="I43" s="8" t="s">
        <x:v>27</x:v>
      </x:c>
    </x:row>
    <x:row r="44" ht="66" customHeight="1">
      <x:c r="A44" s="2" t="s">
        <x:v>39</x:v>
      </x:c>
      <x:c r="B44" s="2" t="s">
        <x:v>17</x:v>
      </x:c>
      <x:c r="C44" s="7" t="str">
        <x:v>no</x:v>
      </x:c>
      <x:c r="D44" s="7" t="str">
        <x:v>no</x:v>
      </x:c>
      <x:c r="E44" s="7" t="str">
        <x:v>no</x:v>
      </x:c>
      <x:c r="F44" s="7" t="str">
        <x:v>Wenjia Wang</x:v>
      </x:c>
      <x:c r="G44" s="7" t="str">
        <x:v>原题询问 AC-10 并发会话、实际例子和 ERP 可行性，回答却要求按 AC-6(5) 限制特权账户，没有解释原题或其环境限制。追问要求 daily/weekly/monthly 频率，但 ac-06.05_odp 定义为人员或角色；该错配本身不算实施或法律断言。</x:v>
      </x:c>
      <x:c r="H44" s="8" t="str">
        <x:f t="shared" si="0">IF(OR(COUNTIFS(C44:E44,"yes")+COUNTIFS(C44:E44,"no")+COUNTIFS(C44:E44,"uncertain")&lt;&gt;3,TRIM(F44)=""),"pending",IF(COUNTIFS(C44:E44,"uncertain")&gt;0,"recorded with uncertainty","recorded"))</x:f>
        <x:v>recorded</x:v>
      </x:c>
      <x:c r="I44" s="8" t="s">
        <x:v>18</x:v>
      </x:c>
    </x:row>
    <x:row r="45" ht="66" customHeight="1">
      <x:c r="A45" s="2" t="s">
        <x:v>39</x:v>
      </x:c>
      <x:c r="B45" s="2" t="s">
        <x:v>19</x:v>
      </x:c>
      <x:c r="C45" s="7" t="str">
        <x:v>yes</x:v>
      </x:c>
      <x:c r="D45" s="7" t="str">
        <x:v>no</x:v>
      </x:c>
      <x:c r="E45" s="7" t="str">
        <x:v>no</x:v>
      </x:c>
      <x:c r="F45" s="7" t="str">
        <x:v>Wenjia Wang</x:v>
      </x:c>
      <x:c r="G45" s="7" t="str">
        <x:v>本次回答上下文未包含已经检索到的 AC-10，NO_EVIDENCE 避免用无关特权账户条款编造并发会话结论，范围上可接受。最终空答没有解释控制、给出例子或讨论 ERP 可行性所需信息，故 D=no；没有断言，E=no。</x:v>
      </x:c>
      <x:c r="H45" s="8" t="str">
        <x:f t="shared" si="0">IF(OR(COUNTIFS(C45:E45,"yes")+COUNTIFS(C45:E45,"no")+COUNTIFS(C45:E45,"uncertain")&lt;&gt;3,TRIM(F45)=""),"pending",IF(COUNTIFS(C45:E45,"uncertain")&gt;0,"recorded with uncertainty","recorded"))</x:f>
        <x:v>recorded</x:v>
      </x:c>
      <x:c r="I45" s="8" t="s">
        <x:v>27</x:v>
      </x:c>
    </x:row>
    <x:row r="46" ht="66" customHeight="1">
      <x:c r="A46" s="2" t="s">
        <x:v>40</x:v>
      </x:c>
      <x:c r="B46" s="2" t="s">
        <x:v>17</x:v>
      </x:c>
      <x:c r="C46" s="7" t="str">
        <x:v>no</x:v>
      </x:c>
      <x:c r="D46" s="7" t="str">
        <x:v>no</x:v>
      </x:c>
      <x:c r="E46" s="7" t="str">
        <x:v>no</x:v>
      </x:c>
      <x:c r="F46" s="7" t="str">
        <x:v>Wenjia Wang</x:v>
      </x:c>
      <x:c r="G46" s="7" t="str">
        <x:v>只给出 AC-2 的零散片段，未解释政策、程序和 SSP 的职责，也未评价仅复述控制是否足够或说明 FedRAMP 接受度需另行依据。离职/调岗及用途变化通知时限与本题概念问题无关，追问不能补足遗漏；没有直接保证政策能通过审核，故 E=no。</x:v>
      </x:c>
      <x:c r="H46" s="8" t="str">
        <x:f t="shared" si="0">IF(OR(COUNTIFS(C46:E46,"yes")+COUNTIFS(C46:E46,"no")+COUNTIFS(C46:E46,"uncertain")&lt;&gt;3,TRIM(F46)=""),"pending",IF(COUNTIFS(C46:E46,"uncertain")&gt;0,"recorded with uncertainty","recorded"))</x:f>
        <x:v>recorded</x:v>
      </x:c>
      <x:c r="I46" s="8" t="s">
        <x:v>18</x:v>
      </x:c>
    </x:row>
    <x:row r="47" ht="66" customHeight="1">
      <x:c r="A47" s="2" t="s">
        <x:v>40</x:v>
      </x:c>
      <x:c r="B47" s="2" t="s">
        <x:v>19</x:v>
      </x:c>
      <x:c r="C47" s="7" t="str">
        <x:v>uncertain</x:v>
      </x:c>
      <x:c r="D47" s="7" t="str">
        <x:v>no</x:v>
      </x:c>
      <x:c r="E47" s="7" t="str">
        <x:v>no</x:v>
      </x:c>
      <x:c r="F47" s="7" t="str">
        <x:v>Wenjia Wang</x:v>
      </x:c>
      <x:c r="G47" s="7" t="str">
        <x:v>空答未回应两种政策写法、文档之间的关系及是否需要内部规定，D=no；没有断言，E=no。C 保留 uncertain：关键 AC-1/PL-2 未进入上下文，但已有 AC-2 可支持账户类型的部分解释，完全弃答又没有范围说明，其适当性不能确认。</x:v>
      </x:c>
      <x:c r="H47" s="8" t="str">
        <x:f t="shared" si="0">IF(OR(COUNTIFS(C47:E47,"yes")+COUNTIFS(C47:E47,"no")+COUNTIFS(C47:E47,"uncertain")&lt;&gt;3,TRIM(F47)=""),"pending",IF(COUNTIFS(C47:E47,"uncertain")&gt;0,"recorded with uncertainty","recorded"))</x:f>
        <x:v>recorded with uncertainty</x:v>
      </x:c>
      <x:c r="I47" s="8" t="s">
        <x:v>27</x:v>
      </x:c>
    </x:row>
    <x:row r="48" ht="66" customHeight="1">
      <x:c r="A48" s="2" t="s">
        <x:v>41</x:v>
      </x:c>
      <x:c r="B48" s="2" t="s">
        <x:v>17</x:v>
      </x:c>
      <x:c r="C48" s="7" t="str">
        <x:v>yes</x:v>
      </x:c>
      <x:c r="D48" s="7" t="str">
        <x:v>no</x:v>
      </x:c>
      <x:c r="E48" s="7" t="str">
        <x:v>no</x:v>
      </x:c>
      <x:c r="F48" s="7" t="str">
        <x:v>Wenjia Wang</x:v>
      </x:c>
      <x:c r="G48" s="7" t="str">
        <x:v>仅引用 AC-2(5) 及其现有指导，没有自行宣称锁屏满足注销要求；但照搬了有歧义的 AC-11 交叉引用，未解释 lock/logout 区别或是否必须每天下班注销。实际注销触发条件的 ODP 不是回答这一区别的前提，多余追问未补齐解释。</x:v>
      </x:c>
      <x:c r="H48" s="8" t="str">
        <x:f t="shared" si="0">IF(OR(COUNTIFS(C48:E48,"yes")+COUNTIFS(C48:E48,"no")+COUNTIFS(C48:E48,"uncertain")&lt;&gt;3,TRIM(F48)=""),"pending",IF(COUNTIFS(C48:E48,"uncertain")&gt;0,"recorded with uncertainty","recorded"))</x:f>
        <x:v>recorded</x:v>
      </x:c>
      <x:c r="I48" s="8" t="s">
        <x:v>18</x:v>
      </x:c>
    </x:row>
    <x:row r="49" ht="66" customHeight="1">
      <x:c r="A49" s="2" t="s">
        <x:v>41</x:v>
      </x:c>
      <x:c r="B49" s="2" t="s">
        <x:v>19</x:v>
      </x:c>
      <x:c r="C49" s="7" t="str">
        <x:v>yes</x:v>
      </x:c>
      <x:c r="D49" s="7" t="str">
        <x:v>yes</x:v>
      </x:c>
      <x:c r="E49" s="7" t="str">
        <x:v>no</x:v>
      </x:c>
      <x:c r="F49" s="7" t="str">
        <x:v>Wenjia Wang</x:v>
      </x:c>
      <x:c r="G49" s="7" t="str">
        <x:v>明确说明在组织定义的预期不活动条件下应执行注销，不能仅以锁屏替代，回应了原题的核心二选一，也没有把“每天下班”说成统一要求。未完整引用 AC-11 或解释交叉引用歧义属于证据完整性不足，运行时失败也另计，不据此否定这段文字的核心解释。</x:v>
      </x:c>
      <x:c r="H49" s="8" t="str">
        <x:f t="shared" si="0">IF(OR(COUNTIFS(C49:E49,"yes")+COUNTIFS(C49:E49,"no")+COUNTIFS(C49:E49,"uncertain")&lt;&gt;3,TRIM(F49)=""),"pending",IF(COUNTIFS(C49:E49,"uncertain")&gt;0,"recorded with uncertainty","recorded"))</x:f>
        <x:v>recorded</x:v>
      </x:c>
      <x:c r="I49" s="8" t="s">
        <x:v>20</x:v>
      </x:c>
    </x:row>
  </x:sheetData>
  <x:conditionalFormatting sqref="H10:H49">
    <x:cfRule type="expression" dxfId="0" priority="1">
      <x:formula>H10="recorded with uncertainty"</x:formula>
    </x:cfRule>
  </x:conditionalFormatting>
  <x:dataValidations count="1">
    <x:dataValidation type="list" sqref="C10:E49">
      <x:formula1>"yes,no,uncertain"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b15c8f254e45f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baseColWidth="10" defaultColWidth="8.83203125" defaultRowHeight="15"/>
  <x:cols>
    <x:col min="1" max="1" width="8.83203125" customWidth="1"/>
    <x:col min="2" max="2" width="43.33203125" customWidth="1"/>
    <x:col min="3" max="3" width="11.1640625" customWidth="1"/>
    <x:col min="4" max="4" width="13.33203125" customWidth="1"/>
    <x:col min="5" max="5" width="27.83203125" customWidth="1"/>
    <x:col min="6" max="6" width="38.83203125" customWidth="1"/>
    <x:col min="7" max="7" width="48.83203125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18">
      <x:c r="A2" s="3" t="s">
        <x:v>42</x:v>
      </x:c>
      <x:c r="B2" s="1"/>
      <x:c r="C2" s="1"/>
      <x:c r="D2" s="1"/>
      <x:c r="E2" s="1"/>
      <x:c r="F2" s="1"/>
      <x:c r="G2" s="1"/>
    </x:row>
    <x:row r="3">
      <x:c r="A3" s="1" t="s">
        <x:v>43</x:v>
      </x:c>
      <x:c r="B3" s="1"/>
      <x:c r="C3" s="1"/>
      <x:c r="D3" s="1"/>
      <x:c r="E3" s="1"/>
      <x:c r="F3" s="1"/>
      <x:c r="G3" s="1"/>
    </x:row>
    <x:row r="4" ht="41.25" customHeight="1">
      <x:c r="A4" s="6" t="s">
        <x:v>7</x:v>
      </x:c>
      <x:c r="B4" s="6" t="s">
        <x:v>44</x:v>
      </x:c>
      <x:c r="C4" s="6" t="s">
        <x:v>45</x:v>
      </x:c>
      <x:c r="D4" s="6" t="s">
        <x:v>46</x:v>
      </x:c>
      <x:c r="E4" s="6" t="s">
        <x:v>47</x:v>
      </x:c>
      <x:c r="F4" s="6" t="s">
        <x:v>48</x:v>
      </x:c>
      <x:c r="G4" s="6" t="s">
        <x:v>49</x:v>
      </x:c>
    </x:row>
    <x:row r="5" ht="55.5" customHeight="1">
      <x:c r="A5" s="2" t="s">
        <x:v>16</x:v>
      </x:c>
      <x:c r="B5" s="2" t="s">
        <x:v>50</x:v>
      </x:c>
      <x:c r="C5" s="2" t="s">
        <x:v>51</x:v>
      </x:c>
      <x:c r="D5" s="2" t="s">
        <x:v>52</x:v>
      </x:c>
      <x:c r="E5" s="2" t="s">
        <x:v>53</x:v>
      </x:c>
      <x:c r="F5" s="2" t="s">
        <x:v>54</x:v>
      </x:c>
      <x:c r="G5" s="2" t="s">
        <x:v>55</x:v>
      </x:c>
    </x:row>
    <x:row r="6" ht="55.5" customHeight="1">
      <x:c r="A6" s="2" t="s">
        <x:v>21</x:v>
      </x:c>
      <x:c r="B6" s="2" t="s">
        <x:v>56</x:v>
      </x:c>
      <x:c r="C6" s="2" t="s">
        <x:v>51</x:v>
      </x:c>
      <x:c r="D6" s="2" t="s">
        <x:v>52</x:v>
      </x:c>
      <x:c r="E6" s="2" t="s">
        <x:v>57</x:v>
      </x:c>
      <x:c r="F6" s="2" t="s">
        <x:v>58</x:v>
      </x:c>
      <x:c r="G6" s="2" t="s">
        <x:v>59</x:v>
      </x:c>
    </x:row>
    <x:row r="7" ht="55.5" customHeight="1">
      <x:c r="A7" s="2" t="s">
        <x:v>22</x:v>
      </x:c>
      <x:c r="B7" s="2" t="s">
        <x:v>60</x:v>
      </x:c>
      <x:c r="C7" s="2" t="s">
        <x:v>51</x:v>
      </x:c>
      <x:c r="D7" s="2" t="s">
        <x:v>52</x:v>
      </x:c>
      <x:c r="E7" s="2" t="s">
        <x:v>61</x:v>
      </x:c>
      <x:c r="F7" s="2" t="s">
        <x:v>62</x:v>
      </x:c>
      <x:c r="G7" s="2" t="s">
        <x:v>63</x:v>
      </x:c>
    </x:row>
    <x:row r="8" ht="55.5" customHeight="1">
      <x:c r="A8" s="2" t="s">
        <x:v>23</x:v>
      </x:c>
      <x:c r="B8" s="2" t="s">
        <x:v>64</x:v>
      </x:c>
      <x:c r="C8" s="2" t="s">
        <x:v>65</x:v>
      </x:c>
      <x:c r="D8" s="2" t="s">
        <x:v>52</x:v>
      </x:c>
      <x:c r="E8" s="2" t="s">
        <x:v>66</x:v>
      </x:c>
      <x:c r="F8" s="2" t="s">
        <x:v>67</x:v>
      </x:c>
      <x:c r="G8" s="2" t="s">
        <x:v>68</x:v>
      </x:c>
    </x:row>
    <x:row r="9" ht="55.5" customHeight="1">
      <x:c r="A9" s="2" t="s">
        <x:v>25</x:v>
      </x:c>
      <x:c r="B9" s="2" t="s">
        <x:v>69</x:v>
      </x:c>
      <x:c r="C9" s="2" t="s">
        <x:v>51</x:v>
      </x:c>
      <x:c r="D9" s="2" t="s">
        <x:v>52</x:v>
      </x:c>
      <x:c r="E9" s="2" t="s">
        <x:v>70</x:v>
      </x:c>
      <x:c r="F9" s="2" t="s">
        <x:v>71</x:v>
      </x:c>
      <x:c r="G9" s="2" t="s">
        <x:v>72</x:v>
      </x:c>
    </x:row>
    <x:row r="10" ht="55.5" customHeight="1">
      <x:c r="A10" s="2" t="s">
        <x:v>26</x:v>
      </x:c>
      <x:c r="B10" s="2" t="s">
        <x:v>73</x:v>
      </x:c>
      <x:c r="C10" s="2" t="s">
        <x:v>74</x:v>
      </x:c>
      <x:c r="D10" s="2" t="s">
        <x:v>75</x:v>
      </x:c>
      <x:c r="E10" s="2"/>
      <x:c r="F10" s="2" t="s">
        <x:v>76</x:v>
      </x:c>
      <x:c r="G10" s="2" t="s">
        <x:v>77</x:v>
      </x:c>
    </x:row>
    <x:row r="11" ht="55.5" customHeight="1">
      <x:c r="A11" s="2" t="s">
        <x:v>28</x:v>
      </x:c>
      <x:c r="B11" s="2" t="s">
        <x:v>78</x:v>
      </x:c>
      <x:c r="C11" s="2" t="s">
        <x:v>51</x:v>
      </x:c>
      <x:c r="D11" s="2" t="s">
        <x:v>52</x:v>
      </x:c>
      <x:c r="E11" s="2" t="s">
        <x:v>79</x:v>
      </x:c>
      <x:c r="F11" s="2" t="s">
        <x:v>80</x:v>
      </x:c>
      <x:c r="G11" s="2" t="s">
        <x:v>81</x:v>
      </x:c>
    </x:row>
    <x:row r="12" ht="55.5" customHeight="1">
      <x:c r="A12" s="2" t="s">
        <x:v>29</x:v>
      </x:c>
      <x:c r="B12" s="2" t="s">
        <x:v>82</x:v>
      </x:c>
      <x:c r="C12" s="2" t="s">
        <x:v>74</x:v>
      </x:c>
      <x:c r="D12" s="2" t="s">
        <x:v>75</x:v>
      </x:c>
      <x:c r="E12" s="2"/>
      <x:c r="F12" s="2" t="s">
        <x:v>76</x:v>
      </x:c>
      <x:c r="G12" s="2" t="s">
        <x:v>83</x:v>
      </x:c>
    </x:row>
    <x:row r="13" ht="55.5" customHeight="1">
      <x:c r="A13" s="2" t="s">
        <x:v>30</x:v>
      </x:c>
      <x:c r="B13" s="2" t="s">
        <x:v>84</x:v>
      </x:c>
      <x:c r="C13" s="2" t="s">
        <x:v>51</x:v>
      </x:c>
      <x:c r="D13" s="2" t="s">
        <x:v>85</x:v>
      </x:c>
      <x:c r="E13" s="2" t="s">
        <x:v>86</x:v>
      </x:c>
      <x:c r="F13" s="2" t="s">
        <x:v>87</x:v>
      </x:c>
      <x:c r="G13" s="2" t="s">
        <x:v>88</x:v>
      </x:c>
    </x:row>
    <x:row r="14" ht="55.5" customHeight="1">
      <x:c r="A14" s="2" t="s">
        <x:v>31</x:v>
      </x:c>
      <x:c r="B14" s="2" t="s">
        <x:v>89</x:v>
      </x:c>
      <x:c r="C14" s="2" t="s">
        <x:v>74</x:v>
      </x:c>
      <x:c r="D14" s="2" t="s">
        <x:v>75</x:v>
      </x:c>
      <x:c r="E14" s="2"/>
      <x:c r="F14" s="2" t="s">
        <x:v>76</x:v>
      </x:c>
      <x:c r="G14" s="2" t="s">
        <x:v>90</x:v>
      </x:c>
    </x:row>
    <x:row r="15" ht="55.5" customHeight="1">
      <x:c r="A15" s="2" t="s">
        <x:v>32</x:v>
      </x:c>
      <x:c r="B15" s="2" t="s">
        <x:v>91</x:v>
      </x:c>
      <x:c r="C15" s="2" t="s">
        <x:v>65</x:v>
      </x:c>
      <x:c r="D15" s="2" t="s">
        <x:v>52</x:v>
      </x:c>
      <x:c r="E15" s="2" t="s">
        <x:v>92</x:v>
      </x:c>
      <x:c r="F15" s="2" t="s">
        <x:v>93</x:v>
      </x:c>
      <x:c r="G15" s="2" t="s">
        <x:v>94</x:v>
      </x:c>
    </x:row>
    <x:row r="16" ht="55.5" customHeight="1">
      <x:c r="A16" s="2" t="s">
        <x:v>33</x:v>
      </x:c>
      <x:c r="B16" s="2" t="s">
        <x:v>95</x:v>
      </x:c>
      <x:c r="C16" s="2" t="s">
        <x:v>51</x:v>
      </x:c>
      <x:c r="D16" s="2" t="s">
        <x:v>85</x:v>
      </x:c>
      <x:c r="E16" s="2" t="s">
        <x:v>96</x:v>
      </x:c>
      <x:c r="F16" s="2" t="s">
        <x:v>97</x:v>
      </x:c>
      <x:c r="G16" s="2" t="s">
        <x:v>98</x:v>
      </x:c>
    </x:row>
    <x:row r="17" ht="55.5" customHeight="1">
      <x:c r="A17" s="2" t="s">
        <x:v>34</x:v>
      </x:c>
      <x:c r="B17" s="2" t="s">
        <x:v>99</x:v>
      </x:c>
      <x:c r="C17" s="2" t="s">
        <x:v>74</x:v>
      </x:c>
      <x:c r="D17" s="2" t="s">
        <x:v>75</x:v>
      </x:c>
      <x:c r="E17" s="2"/>
      <x:c r="F17" s="2" t="s">
        <x:v>76</x:v>
      </x:c>
      <x:c r="G17" s="2" t="s">
        <x:v>100</x:v>
      </x:c>
    </x:row>
    <x:row r="18" ht="55.5" customHeight="1">
      <x:c r="A18" s="2" t="s">
        <x:v>35</x:v>
      </x:c>
      <x:c r="B18" s="2" t="s">
        <x:v>101</x:v>
      </x:c>
      <x:c r="C18" s="2" t="s">
        <x:v>51</x:v>
      </x:c>
      <x:c r="D18" s="2" t="s">
        <x:v>52</x:v>
      </x:c>
      <x:c r="E18" s="2" t="s">
        <x:v>102</x:v>
      </x:c>
      <x:c r="F18" s="2" t="s">
        <x:v>103</x:v>
      </x:c>
      <x:c r="G18" s="2" t="s">
        <x:v>104</x:v>
      </x:c>
    </x:row>
    <x:row r="19" ht="55.5" customHeight="1">
      <x:c r="A19" s="2" t="s">
        <x:v>36</x:v>
      </x:c>
      <x:c r="B19" s="2" t="s">
        <x:v>105</x:v>
      </x:c>
      <x:c r="C19" s="2" t="s">
        <x:v>74</x:v>
      </x:c>
      <x:c r="D19" s="2" t="s">
        <x:v>75</x:v>
      </x:c>
      <x:c r="E19" s="2"/>
      <x:c r="F19" s="2" t="s">
        <x:v>76</x:v>
      </x:c>
      <x:c r="G19" s="2" t="s">
        <x:v>106</x:v>
      </x:c>
    </x:row>
    <x:row r="20" ht="55.5" customHeight="1">
      <x:c r="A20" s="2" t="s">
        <x:v>37</x:v>
      </x:c>
      <x:c r="B20" s="2" t="s">
        <x:v>107</x:v>
      </x:c>
      <x:c r="C20" s="2" t="s">
        <x:v>51</x:v>
      </x:c>
      <x:c r="D20" s="2" t="s">
        <x:v>52</x:v>
      </x:c>
      <x:c r="E20" s="2" t="s">
        <x:v>108</x:v>
      </x:c>
      <x:c r="F20" s="2" t="s">
        <x:v>109</x:v>
      </x:c>
      <x:c r="G20" s="2" t="s">
        <x:v>110</x:v>
      </x:c>
    </x:row>
    <x:row r="21" ht="55.5" customHeight="1">
      <x:c r="A21" s="2" t="s">
        <x:v>38</x:v>
      </x:c>
      <x:c r="B21" s="2" t="s">
        <x:v>111</x:v>
      </x:c>
      <x:c r="C21" s="2" t="s">
        <x:v>51</x:v>
      </x:c>
      <x:c r="D21" s="2" t="s">
        <x:v>52</x:v>
      </x:c>
      <x:c r="E21" s="2" t="s">
        <x:v>112</x:v>
      </x:c>
      <x:c r="F21" s="2" t="s">
        <x:v>113</x:v>
      </x:c>
      <x:c r="G21" s="2" t="s">
        <x:v>114</x:v>
      </x:c>
    </x:row>
    <x:row r="22" ht="55.5" customHeight="1">
      <x:c r="A22" s="2" t="s">
        <x:v>39</x:v>
      </x:c>
      <x:c r="B22" s="2" t="s">
        <x:v>115</x:v>
      </x:c>
      <x:c r="C22" s="2" t="s">
        <x:v>51</x:v>
      </x:c>
      <x:c r="D22" s="2" t="s">
        <x:v>52</x:v>
      </x:c>
      <x:c r="E22" s="2" t="s">
        <x:v>116</x:v>
      </x:c>
      <x:c r="F22" s="2" t="s">
        <x:v>117</x:v>
      </x:c>
      <x:c r="G22" s="2" t="s">
        <x:v>118</x:v>
      </x:c>
    </x:row>
    <x:row r="23" ht="55.5" customHeight="1">
      <x:c r="A23" s="2" t="s">
        <x:v>40</x:v>
      </x:c>
      <x:c r="B23" s="2" t="s">
        <x:v>119</x:v>
      </x:c>
      <x:c r="C23" s="2" t="s">
        <x:v>51</x:v>
      </x:c>
      <x:c r="D23" s="2" t="s">
        <x:v>52</x:v>
      </x:c>
      <x:c r="E23" s="2" t="s">
        <x:v>120</x:v>
      </x:c>
      <x:c r="F23" s="2" t="s">
        <x:v>121</x:v>
      </x:c>
      <x:c r="G23" s="2" t="s">
        <x:v>122</x:v>
      </x:c>
    </x:row>
    <x:row r="24" ht="55.5" customHeight="1">
      <x:c r="A24" s="2" t="s">
        <x:v>41</x:v>
      </x:c>
      <x:c r="B24" s="2" t="s">
        <x:v>123</x:v>
      </x:c>
      <x:c r="C24" s="2" t="s">
        <x:v>65</x:v>
      </x:c>
      <x:c r="D24" s="2" t="s">
        <x:v>52</x:v>
      </x:c>
      <x:c r="E24" s="2" t="s">
        <x:v>124</x:v>
      </x:c>
      <x:c r="F24" s="2" t="s">
        <x:v>125</x:v>
      </x:c>
      <x:c r="G24" s="2" t="s">
        <x:v>126</x:v>
      </x:c>
    </x:row>
  </x:sheetData>
  <x:pageMargins left="0.7" right="0.7" top="0.75" bottom="0.75" header="0.3" footer="0.3"/>
  <x:tableParts count="1">
    <x:tablePart xmlns:r="http://schemas.openxmlformats.org/officeDocument/2006/relationships" r:id="R07b1ea49605a43de"/>
  </x:tableParts>
</x:worksheet>
</file>