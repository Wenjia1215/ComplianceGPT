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5f967a7fbd45e9" /></Relationships>
</file>

<file path=xl/workbook.xml><?xml version="1.0" encoding="utf-8"?>
<x:workbook xmlns:x="http://schemas.openxmlformats.org/spreadsheetml/2006/main">
  <x:sheets>
    <x:sheet xmlns:r="http://schemas.openxmlformats.org/officeDocument/2006/relationships" name="Author review" sheetId="1" r:id="R909b63bdc3234691"/>
    <x:sheet xmlns:r="http://schemas.openxmlformats.org/officeDocument/2006/relationships" name="Frozen questions" sheetId="2" r:id="Re6630ebf57814c43"/>
  </x:sheets>
</x:workbook>
</file>

<file path=xl/sharedStrings.xml><?xml version="1.0" encoding="utf-8"?>
<x:sst xmlns:x="http://schemas.openxmlformats.org/spreadsheetml/2006/main">
  <x:si>
    <x:t xml:space="preserve">Natural-question author review</x:t>
  </x:si>
  <x:si>
    <x:t xml:space="preserve">Recorded</x:t>
  </x:si>
  <x:si>
    <x:t xml:space="preserve">Read the full paired answers and audit observations in the companion Full Review HTML.</x:t>
  </x:si>
  <x:si>
    <x:t xml:space="preserve">Pending</x:t>
  </x:si>
  <x:si>
    <x:t xml:space="preserve">Enter yes, no or uncertain in C–E. </x:t>
  </x:si>
  <x:si>
    <x:t xml:space="preserve">Scope: stays within available authority and explains unsupported parts. Responsive: addresses the entire original question.</x:t>
  </x:si>
  <x:si>
    <x:t xml:space="preserve">Unsupported claim: YES flags a problem. An uncertainty records a review but leaves that judgment unresolved. Yellow cells C–G are editable.</x:t>
  </x:si>
  <x:si>
    <x:t xml:space="preserve">Query ID</x:t>
  </x:si>
  <x:si>
    <x:t xml:space="preserve">System</x:t>
  </x:si>
  <x:si>
    <x:t xml:space="preserve">Within scope?</x:t>
  </x:si>
  <x:si>
    <x:t xml:space="preserve">Answers whole question?</x:t>
  </x:si>
  <x:si>
    <x:t xml:space="preserve">Unsupported implementation/legal claim?</x:t>
  </x:si>
  <x:si>
    <x:t xml:space="preserve">Reviewer</x:t>
  </x:si>
  <x:si>
    <x:t xml:space="preserve">Notes</x:t>
  </x:si>
  <x:si>
    <x:t xml:space="preserve">Review state</x:t>
  </x:si>
  <x:si>
    <x:t xml:space="preserve">Recorded runtime status</x:t>
  </x:si>
  <x:si>
    <x:t xml:space="preserve">NQ01</x:t>
  </x:si>
  <x:si>
    <x:t xml:space="preserve">compliancegpt</x:t>
  </x:si>
  <x:si>
    <x:t xml:space="preserve">PARAMS_REQUIRED</x:t>
  </x:si>
  <x:si>
    <x:t xml:space="preserve">generative_baseline</x:t>
  </x:si>
  <x:si>
    <x:t xml:space="preserve">OK</x:t>
  </x:si>
  <x:si>
    <x:t xml:space="preserve">NQ02</x:t>
  </x:si>
  <x:si>
    <x:t xml:space="preserve">NQ03</x:t>
  </x:si>
  <x:si>
    <x:t xml:space="preserve">NQ04</x:t>
  </x:si>
  <x:si>
    <x:t xml:space="preserve">ERROR</x:t>
  </x:si>
  <x:si>
    <x:t xml:space="preserve">NQ05</x:t>
  </x:si>
  <x:si>
    <x:t xml:space="preserve">NQ06</x:t>
  </x:si>
  <x:si>
    <x:t xml:space="preserve">NO_EVIDENCE</x:t>
  </x:si>
  <x:si>
    <x:t xml:space="preserve">NQ07</x:t>
  </x:si>
  <x:si>
    <x:t xml:space="preserve">NQ08</x:t>
  </x:si>
  <x:si>
    <x:t xml:space="preserve">NQ09</x:t>
  </x:si>
  <x:si>
    <x:t xml:space="preserve">NQ10</x:t>
  </x:si>
  <x:si>
    <x:t xml:space="preserve">NQ11</x:t>
  </x:si>
  <x:si>
    <x:t xml:space="preserve">NQ12</x:t>
  </x:si>
  <x:si>
    <x:t xml:space="preserve">NQ13</x:t>
  </x:si>
  <x:si>
    <x:t xml:space="preserve">NQ14</x:t>
  </x:si>
  <x:si>
    <x:t xml:space="preserve">NQ15</x:t>
  </x:si>
  <x:si>
    <x:t xml:space="preserve">NQ16</x:t>
  </x:si>
  <x:si>
    <x:t xml:space="preserve">NQ17</x:t>
  </x:si>
  <x:si>
    <x:t xml:space="preserve">NQ18</x:t>
  </x:si>
  <x:si>
    <x:t xml:space="preserve">NQ19</x:t>
  </x:si>
  <x:si>
    <x:t xml:space="preserve">NQ20</x:t>
  </x:si>
  <x:si>
    <x:t xml:space="preserve">Frozen question references</x:t>
  </x:si>
  <x:si>
    <x:t xml:space="preserve">Source: registered_questions.jsonl and registered_labels.jsonl at commit 27c437a2176847b6ac82f86b3f1abbb3ba63c1ac. Full bodies appear in the companion HTML.</x:t>
  </x:si>
  <x:si>
    <x:t xml:space="preserve">Original title</x:t>
  </x:si>
  <x:si>
    <x:t xml:space="preserve">Author scope</x:t>
  </x:si>
  <x:si>
    <x:t xml:space="preserve">Author ODP</x:t>
  </x:si>
  <x:si>
    <x:t xml:space="preserve">Governing controls</x:t>
  </x:si>
  <x:si>
    <x:t xml:space="preserve">Required evidence groups</x:t>
  </x:si>
  <x:si>
    <x:t xml:space="preserve">Original source URL</x:t>
  </x:si>
  <x:si>
    <x:t xml:space="preserve">SI-2(2)</x:t>
  </x:si>
  <x:si>
    <x:t xml:space="preserve">partial</x:t>
  </x:si>
  <x:si>
    <x:t xml:space="preserve">not_required</x:t>
  </x:si>
  <x:si>
    <x:t xml:space="preserve">si-2.2</x:t>
  </x:si>
  <x:si>
    <x:t xml:space="preserve">[["si-2.2_smt"]]</x:t>
  </x:si>
  <x:si>
    <x:t xml:space="preserve">https://www.reddit.com/r/NISTControls/comments/fhjwsf/</x:t>
  </x:si>
  <x:si>
    <x:t xml:space="preserve">"Evidence" for SC-39 (Process Isolation) on Windows 2019</x:t>
  </x:si>
  <x:si>
    <x:t xml:space="preserve">sc-39</x:t>
  </x:si>
  <x:si>
    <x:t xml:space="preserve">[["sc-39_smt"],["sc-39_gdn"]]</x:t>
  </x:si>
  <x:si>
    <x:t xml:space="preserve">https://www.reddit.com/r/NISTControls/comments/fslmlw/</x:t>
  </x:si>
  <x:si>
    <x:t xml:space="preserve">CP-7 "Alternate Processing Site"</x:t>
  </x:si>
  <x:si>
    <x:t xml:space="preserve">cp-7</x:t>
  </x:si>
  <x:si>
    <x:t xml:space="preserve">[["cp-7_smt.a"]]</x:t>
  </x:si>
  <x:si>
    <x:t xml:space="preserve">https://www.reddit.com/r/NISTControls/comments/gzbpkg/</x:t>
  </x:si>
  <x:si>
    <x:t xml:space="preserve">800-53: Service Accounts under IA or AC?</x:t>
  </x:si>
  <x:si>
    <x:t xml:space="preserve">full</x:t>
  </x:si>
  <x:si>
    <x:t xml:space="preserve">ac-2</x:t>
  </x:si>
  <x:si>
    <x:t xml:space="preserve">[["ac-2_smt.a"],["ac-2_gdn"]]</x:t>
  </x:si>
  <x:si>
    <x:t xml:space="preserve">https://www.reddit.com/r/NISTControls/comments/hgb890/</x:t>
  </x:si>
  <x:si>
    <x:t xml:space="preserve">SI-11 Error Handling</x:t>
  </x:si>
  <x:si>
    <x:t xml:space="preserve">si-11</x:t>
  </x:si>
  <x:si>
    <x:t xml:space="preserve">[["si-11_smt.a"],["si-11_smt.b"]]</x:t>
  </x:si>
  <x:si>
    <x:t xml:space="preserve">https://www.reddit.com/r/NISTControls/comments/j3vd1s/</x:t>
  </x:si>
  <x:si>
    <x:t xml:space="preserve">NIST 800-53 Rev. 5 Control Template</x:t>
  </x:si>
  <x:si>
    <x:t xml:space="preserve">outside</x:t>
  </x:si>
  <x:si>
    <x:t xml:space="preserve">not_applicable</x:t>
  </x:si>
  <x:si>
    <x:t xml:space="preserve">[]</x:t>
  </x:si>
  <x:si>
    <x:t xml:space="preserve">https://www.reddit.com/r/NISTControls/comments/jsw3ah/</x:t>
  </x:si>
  <x:si>
    <x:t xml:space="preserve">Looking for help with AC Family re: NIST 800-53 Rev. 5</x:t>
  </x:si>
  <x:si>
    <x:t xml:space="preserve">pl-2, sa-9</x:t>
  </x:si>
  <x:si>
    <x:t xml:space="preserve">[["pl-2_smt.a.2"],["pl-2_smt.a.9"],["pl-2_smt.a.12"],["sa-9_smt.a"],["sa-9_smt.b"]]</x:t>
  </x:si>
  <x:si>
    <x:t xml:space="preserve">https://www.reddit.com/r/NISTControls/comments/l510oe/</x:t>
  </x:si>
  <x:si>
    <x:t xml:space="preserve">800-53 vs FedRAMP</x:t>
  </x:si>
  <x:si>
    <x:t xml:space="preserve">https://www.reddit.com/r/NISTControls/comments/xlkw24/</x:t>
  </x:si>
  <x:si>
    <x:t xml:space="preserve">Setting up auditing/logging for NIST 800-53</x:t>
  </x:si>
  <x:si>
    <x:t xml:space="preserve">required</x:t>
  </x:si>
  <x:si>
    <x:t xml:space="preserve">au-2, au-3, au-12</x:t>
  </x:si>
  <x:si>
    <x:t xml:space="preserve">[["au-2_smt.a"],["au-2_smt.c"],["au-3_smt"],["au-12_smt.a"],["au-12_smt.c"]]</x:t>
  </x:si>
  <x:si>
    <x:t xml:space="preserve">https://www.reddit.com/r/NISTControls/comments/10fn11g/</x:t>
  </x:si>
  <x:si>
    <x:t xml:space="preserve">NIST 800-53 Controls</x:t>
  </x:si>
  <x:si>
    <x:t xml:space="preserve">https://www.reddit.com/r/NISTControls/comments/11agrl6/</x:t>
  </x:si>
  <x:si>
    <x:t xml:space="preserve">SI-3 2. Rev 5</x:t>
  </x:si>
  <x:si>
    <x:t xml:space="preserve">si-3</x:t>
  </x:si>
  <x:si>
    <x:t xml:space="preserve">[["si-3_smt.c.2"]]</x:t>
  </x:si>
  <x:si>
    <x:t xml:space="preserve">https://www.reddit.com/r/NISTControls/comments/13iknc0/</x:t>
  </x:si>
  <x:si>
    <x:t xml:space="preserve">Session termination time (3.1.11, AC-12, SC-10) - how long is too long?</x:t>
  </x:si>
  <x:si>
    <x:t xml:space="preserve">ac-12, sc-10</x:t>
  </x:si>
  <x:si>
    <x:t xml:space="preserve">[["ac-12_smt"],["sc-10_smt"]]</x:t>
  </x:si>
  <x:si>
    <x:t xml:space="preserve">https://www.reddit.com/r/NISTControls/comments/143p053/</x:t>
  </x:si>
  <x:si>
    <x:t xml:space="preserve">Control map from PCI DSS to/from 800-53 r5?</x:t>
  </x:si>
  <x:si>
    <x:t xml:space="preserve">https://www.reddit.com/r/NISTControls/comments/15eiini/</x:t>
  </x:si>
  <x:si>
    <x:t xml:space="preserve">Operational bug controls</x:t>
  </x:si>
  <x:si>
    <x:t xml:space="preserve">si-2</x:t>
  </x:si>
  <x:si>
    <x:t xml:space="preserve">[["si-2_smt.a"],["si-2_smt.d"],["si-2_gdn"]]</x:t>
  </x:si>
  <x:si>
    <x:t xml:space="preserve">https://www.reddit.com/r/NISTControls/comments/1ay1tbl/</x:t>
  </x:si>
  <x:si>
    <x:t xml:space="preserve">NIST 800 - 53 Implementation</x:t>
  </x:si>
  <x:si>
    <x:t xml:space="preserve">https://www.reddit.com/r/NISTControls/comments/1btyzmt/</x:t>
  </x:si>
  <x:si>
    <x:t xml:space="preserve">Help me understand control tailoring</x:t>
  </x:si>
  <x:si>
    <x:t xml:space="preserve">au-4, au-11, pl-2</x:t>
  </x:si>
  <x:si>
    <x:t xml:space="preserve">[["au-4_smt"],["au-11_smt"],["pl-2_smt.a.12"]]</x:t>
  </x:si>
  <x:si>
    <x:t xml:space="preserve">https://www.reddit.com/r/NISTControls/comments/1bz0n8c/</x:t>
  </x:si>
  <x:si>
    <x:t xml:space="preserve">Looking for a little help with self-assessment of 800-53r5</x:t>
  </x:si>
  <x:si>
    <x:t xml:space="preserve">ca-2</x:t>
  </x:si>
  <x:si>
    <x:t xml:space="preserve">[["ca-2_smt.a"],["ca-2_smt.b.1"],["ca-2_smt.b.2"],["ca-2_smt.b.3"],["ca-2_smt.c"],["ca-2_smt.d"],["ca-2_smt.e"]]</x:t>
  </x:si>
  <x:si>
    <x:t xml:space="preserve">https://www.reddit.com/r/NISTControls/comments/1civ1d0/</x:t>
  </x:si>
  <x:si>
    <x:t xml:space="preserve">NIST SP 800-53 AC -10 - Practical example</x:t>
  </x:si>
  <x:si>
    <x:t xml:space="preserve">ac-10</x:t>
  </x:si>
  <x:si>
    <x:t xml:space="preserve">[["ac-10_smt"],["ac-10_gdn"]]</x:t>
  </x:si>
  <x:si>
    <x:t xml:space="preserve">https://www.reddit.com/r/NISTControls/comments/1d1yhdk/</x:t>
  </x:si>
  <x:si>
    <x:t xml:space="preserve">Writing Good Policies</x:t>
  </x:si>
  <x:si>
    <x:t xml:space="preserve">ac-1, ac-2, pl-2</x:t>
  </x:si>
  <x:si>
    <x:t xml:space="preserve">[["ac-1_gdn"],["ac-1_smt.a.1.a"],["ac-1_smt.a.1.b"],["ac-1_smt.a.2"],["ac-2_smt.a"],["pl-2_smt.a.12"]]</x:t>
  </x:si>
  <x:si>
    <x:t xml:space="preserve">https://www.reddit.com/r/NISTControls/comments/1els2x6/</x:t>
  </x:si>
  <x:si>
    <x:t xml:space="preserve">800-53 AC-2(5) Logout Versus Lock</x:t>
  </x:si>
  <x:si>
    <x:t xml:space="preserve">ac-2.5, ac-11</x:t>
  </x:si>
  <x:si>
    <x:t xml:space="preserve">[["ac-2.5_smt"],["ac-11_smt.a"],["ac-11_smt.b"]]</x:t>
  </x:si>
  <x:si>
    <x:t xml:space="preserve">https://www.reddit.com/r/NISTControls/comments/1fyhvpg/</x:t>
  </x:si>
</x:sst>
</file>

<file path=xl/styles.xml><?xml version="1.0" encoding="utf-8"?>
<x:styleSheet xmlns:x="http://schemas.openxmlformats.org/spreadsheetml/2006/main">
  <x:fonts count="4">
    <x:font>
      <x:sz val="11"/>
      <x:name val="Carlito"/>
    </x:font>
    <x:font>
      <x:sz val="10"/>
      <x:color rgb="FF192333"/>
      <x:name val="Arial"/>
    </x:font>
    <x:font>
      <x:b/>
      <x:sz val="14"/>
      <x:color rgb="FF192333"/>
      <x:name val="Arial"/>
    </x:font>
    <x:font>
      <x:b/>
      <x:sz val="10"/>
      <x:color rgb="FFFFFFFF"/>
      <x:name val="Arial"/>
    </x:font>
  </x:fonts>
  <x:fills count="5">
    <x:fill>
      <x:patternFill patternType="none"/>
    </x:fill>
    <x:fill>
      <x:patternFill patternType="gray125"/>
    </x:fill>
    <x:fill>
      <x:patternFill patternType="solid">
        <x:fgColor rgb="FF314C78"/>
      </x:patternFill>
    </x:fill>
    <x:fill>
      <x:patternFill patternType="solid">
        <x:fgColor rgb="FFFFF3C6"/>
      </x:patternFill>
    </x:fill>
    <x:fill>
      <x:patternFill patternType="solid">
        <x:fgColor rgb="FFEEF2F8"/>
      </x:patternFill>
    </x:fill>
  </x:fills>
  <x:borders count="2">
    <x:border/>
    <x:border>
      <x:bottom style="thin">
        <x:color rgb="FF314C78"/>
      </x:bottom>
    </x:border>
  </x:borders>
  <x:cellStyleXfs count="1">
    <x:xf numFmtId="0" fontId="0" fillId="0" borderId="0"/>
  </x:cellStyleXfs>
  <x:cellXfs count="9">
    <x:xf numFmtId="0" fontId="0" fillId="0" borderId="0" xfId="0"/>
    <x:xf numFmtId="0" fontId="1" fillId="0" borderId="0" xfId="0" applyFont="1" applyAlignment="1">
      <x:alignment vertical="top"/>
    </x:xf>
    <x:xf numFmtId="0" fontId="1" fillId="0" borderId="0" xfId="0" applyFont="1" applyAlignment="1">
      <x:alignment vertical="top" wrapText="1"/>
    </x:xf>
    <x:xf numFmtId="0" fontId="2" fillId="0" borderId="0" xfId="0" applyFont="1" applyAlignment="1">
      <x:alignment vertical="top"/>
    </x:xf>
    <x:xf numFmtId="0" fontId="1" fillId="0" borderId="1" xfId="0" applyFont="1" applyBorder="1" applyAlignment="1">
      <x:alignment vertical="top" wrapText="1"/>
    </x:xf>
    <x:xf numFmtId="1" fontId="1" fillId="0" borderId="0" xfId="0" applyNumberFormat="1" applyFont="1" applyAlignment="1">
      <x:alignment vertical="top" wrapText="1"/>
    </x:xf>
    <x:xf numFmtId="0" fontId="3" fillId="2" borderId="0" xfId="0" applyFont="1" applyFill="1" applyAlignment="1">
      <x:alignment horizontal="center" vertical="center" wrapText="1"/>
    </x:xf>
    <x:xf numFmtId="0" fontId="1" fillId="3" borderId="0" xfId="0" applyFont="1" applyFill="1" applyAlignment="1">
      <x:alignment vertical="top" wrapText="1"/>
    </x:xf>
    <x:xf numFmtId="0" fontId="1" fillId="4" borderId="0" xfId="0" applyFont="1" applyFill="1" applyAlignment="1">
      <x:alignment vertical="top" wrapText="1"/>
    </x:xf>
  </x:cellXfs>
  <x:cellStyles count="1">
    <x:cellStyle name="Normal" xfId="0"/>
  </x:cellStyles>
  <x:dxfs count="1">
    <x:dxf>
      <x:font>
        <x:color rgb="FF7B4607"/>
      </x:font>
      <x:fill>
        <x:patternFill>
          <x:bgColor rgb="FFFFE0A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e8c0b65048d4809" /><Relationship Type="http://schemas.openxmlformats.org/officeDocument/2006/relationships/theme" Target="/xl/theme/theme1.xml" Id="Rbf2903135f6b4140" /><Relationship Type="http://schemas.openxmlformats.org/officeDocument/2006/relationships/sharedStrings" Target="/xl/sharedStrings.xml" Id="R01737046a29d487b" /><Relationship Type="http://schemas.openxmlformats.org/officeDocument/2006/relationships/worksheet" Target="/xl/worksheets/sheet1.xml" Id="R909b63bdc3234691" /><Relationship Type="http://schemas.openxmlformats.org/officeDocument/2006/relationships/worksheet" Target="/xl/worksheets/sheet2.xml" Id="Re6630ebf57814c43" /></Relationships>
</file>

<file path=xl/tables/table1.xml><?xml version="1.0" encoding="utf-8"?>
<x:table xmlns:x="http://schemas.openxmlformats.org/spreadsheetml/2006/main" id="1" name="AuthorReviewTable" displayName="AuthorReviewTable" ref="A9:I49" totalsRowShown="0">
  <x:tableColumns count="9">
    <x:tableColumn id="1" name="Query ID"/>
    <x:tableColumn id="2" name="System"/>
    <x:tableColumn id="3" name="Within scope?"/>
    <x:tableColumn id="4" name="Answers whole question?"/>
    <x:tableColumn id="5" name="Unsupported implementation/legal claim?"/>
    <x:tableColumn id="6" name="Reviewer"/>
    <x:tableColumn id="7" name="Notes"/>
    <x:tableColumn id="8" name="Review state"/>
    <x:tableColumn id="9" name="Recorded runtime status"/>
  </x:tableColumns>
  <x:tableStyleInfo name="TableStyleMedium2" showFirstColumn="0" showLastColumn="0" showRowStripes="1" showColumnStripes="0"/>
</x:table>
</file>

<file path=xl/tables/table2.xml><?xml version="1.0" encoding="utf-8"?>
<x:table xmlns:x="http://schemas.openxmlformats.org/spreadsheetml/2006/main" id="2" name="FrozenQuestionsTable" displayName="FrozenQuestionsTable" ref="A4:G24" totalsRowShown="0">
  <x:tableColumns count="7">
    <x:tableColumn id="1" name="Query ID"/>
    <x:tableColumn id="2" name="Original title"/>
    <x:tableColumn id="3" name="Author scope"/>
    <x:tableColumn id="4" name="Author ODP"/>
    <x:tableColumn id="5" name="Governing controls"/>
    <x:tableColumn id="6" name="Required evidence groups"/>
    <x:tableColumn id="7" name="Original source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aa0493213b47f1" /></Relationships>
</file>

<file path=xl/worksheets/_rels/sheet2.xml.rels>&#65279;<?xml version="1.0" encoding="utf-8"?><Relationships xmlns="http://schemas.openxmlformats.org/package/2006/relationships"><Relationship Type="http://schemas.openxmlformats.org/officeDocument/2006/relationships/table" Target="/xl/tables/table2.xml" Id="R621725c7787b4cba" /></Relationships>
</file>

<file path=xl/worksheets/sheet1.xml><?xml version="1.0" encoding="utf-8"?>
<x:worksheet xmlns:x="http://schemas.openxmlformats.org/spreadsheetml/2006/main">
  <x:sheetPr>
    <x:tabColor rgb="FF314C78"/>
  </x:sheetPr>
  <x:sheetViews>
    <x:sheetView showGridLines="0" workbookViewId="0">
      <x:pane xSplit="2" ySplit="9" topLeftCell="C10" activePane="bottomRight" state="frozen"/>
    </x:sheetView>
  </x:sheetViews>
  <x:sheetFormatPr baseColWidth="10" defaultColWidth="8.83203125" defaultRowHeight="15"/>
  <x:cols>
    <x:col min="1" max="1" width="8.83203125" customWidth="1"/>
    <x:col min="2" max="2" width="18.33203125" customWidth="1"/>
    <x:col min="3" max="3" width="16.1640625" customWidth="1"/>
    <x:col min="4" max="4" width="18.33203125" customWidth="1"/>
    <x:col min="5" max="5" width="20.5" customWidth="1"/>
    <x:col min="6" max="6" width="13.83203125" customWidth="1"/>
    <x:col min="7" max="7" width="62" hidden="0" customWidth="1"/>
    <x:col min="8" max="9" width="18.83203125" customWidth="1"/>
  </x:cols>
  <x:sheetData>
    <x:row r="1">
      <x:c r="A1" s="2"/>
      <x:c r="B1" s="2"/>
      <x:c r="C1" s="2"/>
      <x:c r="D1" s="2"/>
      <x:c r="E1" s="2"/>
      <x:c r="F1" s="2"/>
      <x:c r="G1" s="2"/>
      <x:c r="H1" s="2"/>
      <x:c r="I1" s="2"/>
    </x:row>
    <x:row r="2" ht="18">
      <x:c r="A2" s="3" t="s">
        <x:v>0</x:v>
      </x:c>
      <x:c r="B2" s="1"/>
      <x:c r="C2" s="1"/>
      <x:c r="D2" s="1"/>
      <x:c r="E2" s="1"/>
      <x:c r="F2" s="1"/>
      <x:c r="G2" s="1"/>
      <x:c r="H2" s="1"/>
      <x:c r="I2" s="1"/>
    </x:row>
    <x:row r="3">
      <x:c r="A3" s="4"/>
      <x:c r="B3" s="4"/>
      <x:c r="C3" s="4"/>
      <x:c r="D3" s="4"/>
      <x:c r="E3" s="4"/>
      <x:c r="F3" s="4"/>
      <x:c r="G3" s="4"/>
      <x:c r="H3" s="4"/>
      <x:c r="I3" s="4"/>
    </x:row>
    <x:row r="4" ht="18" customHeight="1">
      <x:c r="A4" s="2" t="s">
        <x:v>1</x:v>
      </x:c>
      <x:c r="B4" s="5" t="n">
        <x:f>COUNTIFS(H10:H49,"recorded")+COUNTIFS(H10:H49,"recorded with uncertainty")</x:f>
        <x:v>40</x:v>
      </x:c>
      <x:c r="C4" s="1" t="s">
        <x:v>2</x:v>
      </x:c>
      <x:c r="D4" s="1"/>
      <x:c r="E4" s="1"/>
      <x:c r="F4" s="1"/>
      <x:c r="G4" s="1"/>
      <x:c r="H4" s="1"/>
      <x:c r="I4" s="1"/>
    </x:row>
    <x:row r="5" ht="18" customHeight="1">
      <x:c r="A5" s="2" t="s">
        <x:v>3</x:v>
      </x:c>
      <x:c r="B5" s="5" t="n">
        <x:f>COUNTIFS(H10:H49,"pending")</x:f>
        <x:v>0</x:v>
      </x:c>
      <x:c r="C5" s="1" t="s">
        <x:v>4</x:v>
      </x:c>
      <x:c r="D5" s="1"/>
      <x:c r="E5" s="1"/>
      <x:c r="F5" s="1"/>
      <x:c r="G5" s="1"/>
      <x:c r="H5" s="1"/>
      <x:c r="I5" s="1"/>
    </x:row>
    <x:row r="6" ht="18" customHeight="1">
      <x:c r="A6" s="1" t="s">
        <x:v>5</x:v>
      </x:c>
      <x:c r="B6" s="1"/>
      <x:c r="C6" s="1"/>
      <x:c r="D6" s="1"/>
      <x:c r="E6" s="1"/>
      <x:c r="F6" s="1"/>
      <x:c r="G6" s="1"/>
      <x:c r="H6" s="1"/>
      <x:c r="I6" s="1"/>
    </x:row>
    <x:row r="7" ht="18" customHeight="1">
      <x:c r="A7" s="1" t="s">
        <x:v>6</x:v>
      </x:c>
      <x:c r="B7" s="1"/>
      <x:c r="C7" s="1"/>
      <x:c r="D7" s="1"/>
      <x:c r="E7" s="1"/>
      <x:c r="F7" s="1"/>
      <x:c r="G7" s="1"/>
      <x:c r="H7" s="1"/>
      <x:c r="I7" s="1"/>
    </x:row>
    <x:row r="8">
      <x:c r="A8" s="2"/>
      <x:c r="B8" s="2"/>
      <x:c r="C8" s="2"/>
      <x:c r="D8" s="2"/>
      <x:c r="E8" s="2"/>
      <x:c r="F8" s="2"/>
      <x:c r="G8" s="2"/>
      <x:c r="H8" s="2"/>
      <x:c r="I8" s="2"/>
    </x:row>
    <x:row r="9" ht="48.75" customHeight="1">
      <x:c r="A9" s="6" t="s">
        <x:v>7</x:v>
      </x:c>
      <x:c r="B9" s="6" t="s">
        <x:v>8</x:v>
      </x:c>
      <x:c r="C9" s="6" t="s">
        <x:v>9</x:v>
      </x:c>
      <x:c r="D9" s="6" t="s">
        <x:v>10</x:v>
      </x:c>
      <x:c r="E9" s="6" t="s">
        <x:v>11</x:v>
      </x:c>
      <x:c r="F9" s="6" t="s">
        <x:v>12</x:v>
      </x:c>
      <x:c r="G9" s="6" t="s">
        <x:v>13</x:v>
      </x:c>
      <x:c r="H9" s="6" t="s">
        <x:v>14</x:v>
      </x:c>
      <x:c r="I9" s="6" t="s">
        <x:v>15</x:v>
      </x:c>
    </x:row>
    <x:row r="10" ht="60" hidden="0" customHeight="1">
      <x:c r="A10" s="2" t="s">
        <x:v>16</x:v>
      </x:c>
      <x:c r="B10" s="2" t="s">
        <x:v>17</x:v>
      </x:c>
      <x:c r="C10" s="7" t="str">
        <x:v>no</x:v>
      </x:c>
      <x:c r="D10" s="7" t="str">
        <x:v>no</x:v>
      </x:c>
      <x:c r="E10" s="7" t="str">
        <x:v>no</x:v>
      </x:c>
      <x:c r="F10" s="7" t="str">
        <x:v>Wenjia Wang</x:v>
      </x:c>
      <x:c r="G10" s="7" t="str">
        <x:v>Although the answer copies SI-2(2), it does not distinguish automatic status checks from automatic installation or explain that the clause cannot establish whether this MUSA script and monthly schedule comply. The three ODP requests are unnecessary for that explanation. The si-2.2_prm_1 prompt also omits the meaning of frequency. No additional implementation or legal claim was found.</x:v>
      </x:c>
      <x:c r="H10" s="8" t="str">
        <x:f t="shared" ref="H10:H49" si="0">IF(OR(COUNTIFS(C10:E10,"yes")+COUNTIFS(C10:E10,"no")+COUNTIFS(C10:E10,"uncertain")&lt;&gt;3,TRIM(F10)=""),"pending",IF(COUNTIFS(C10:E10,"uncertain")&gt;0,"recorded with uncertainty","recorded"))</x:f>
        <x:v>recorded</x:v>
      </x:c>
      <x:c r="I10" s="8" t="s">
        <x:v>18</x:v>
      </x:c>
    </x:row>
    <x:row r="11" ht="60" hidden="0" customHeight="1">
      <x:c r="A11" s="2" t="s">
        <x:v>16</x:v>
      </x:c>
      <x:c r="B11" s="2" t="s">
        <x:v>19</x:v>
      </x:c>
      <x:c r="C11" s="7" t="str">
        <x:v>no</x:v>
      </x:c>
      <x:c r="D11" s="7" t="str">
        <x:v>no</x:v>
      </x:c>
      <x:c r="E11" s="7" t="str">
        <x:v>yes</x:v>
      </x:c>
      <x:c r="F11" s="7" t="str">
        <x:v>Wenjia Wang</x:v>
      </x:c>
      <x:c r="G11" s="7" t="str">
        <x:v>The answer first asserts that the existing script meets the requirement, then requires continuous monitoring and automatic installation without human intervention. It turns the SI-2(2) status-check question into SI-2(5) automatic updating. The cited evidence cannot establish compliance of the existing implementation or support continuous automatic installation as a requirement for this question.</x:v>
      </x:c>
      <x:c r="H11" s="8" t="str">
        <x:f t="shared" si="0">IF(OR(COUNTIFS(C11:E11,"yes")+COUNTIFS(C11:E11,"no")+COUNTIFS(C11:E11,"uncertain")&lt;&gt;3,TRIM(F11)=""),"pending",IF(COUNTIFS(C11:E11,"uncertain")&gt;0,"recorded with uncertainty","recorded"))</x:f>
        <x:v>recorded</x:v>
      </x:c>
      <x:c r="I11" s="8" t="s">
        <x:v>20</x:v>
      </x:c>
    </x:row>
    <x:row r="12" ht="60" hidden="0" customHeight="1">
      <x:c r="A12" s="2" t="s">
        <x:v>21</x:v>
      </x:c>
      <x:c r="B12" s="2" t="s">
        <x:v>17</x:v>
      </x:c>
      <x:c r="C12" s="7" t="str">
        <x:v>no</x:v>
      </x:c>
      <x:c r="D12" s="7" t="str">
        <x:v>no</x:v>
      </x:c>
      <x:c r="E12" s="7" t="str">
        <x:v>no</x:v>
      </x:c>
      <x:c r="F12" s="7" t="str">
        <x:v>Wenjia Wang</x:v>
      </x:c>
      <x:c r="G12" s="7" t="str">
        <x:v>The answer correctly copies the execution-domain and address-space explanations but does not identify the Windows/AWS evidence to provide. It also omits the need for separate evidence about configuration, inherited controls, and audit acceptance. It does not directly assert that the deployment complies, so E=no. These omitted limits and the missing response to the main question explain C=no and D=no.</x:v>
      </x:c>
      <x:c r="H12" s="8" t="str">
        <x:f t="shared" si="0">IF(OR(COUNTIFS(C12:E12,"yes")+COUNTIFS(C12:E12,"no")+COUNTIFS(C12:E12,"uncertain")&lt;&gt;3,TRIM(F12)=""),"pending",IF(COUNTIFS(C12:E12,"uncertain")&gt;0,"recorded with uncertainty","recorded"))</x:f>
        <x:v>recorded</x:v>
      </x:c>
      <x:c r="I12" s="8" t="s">
        <x:v>20</x:v>
      </x:c>
    </x:row>
    <x:row r="13" ht="60" hidden="0" customHeight="1">
      <x:c r="A13" s="2" t="s">
        <x:v>21</x:v>
      </x:c>
      <x:c r="B13" s="2" t="s">
        <x:v>19</x:v>
      </x:c>
      <x:c r="C13" s="7" t="str">
        <x:v>no</x:v>
      </x:c>
      <x:c r="D13" s="7" t="str">
        <x:v>yes</x:v>
      </x:c>
      <x:c r="E13" s="7" t="str">
        <x:v>yes</x:v>
      </x:c>
      <x:c r="F13" s="7" t="str">
        <x:v>Wenjia Wang</x:v>
      </x:c>
      <x:c r="G13" s="7" t="str">
        <x:v>The answer explains isolation and proposes documents, screenshots, configurations, and logs, addressing both the technical meaning and the evidence request. However, SC-39's general text cannot establish the specific Windows 2019 implementation. It also does not support a process-list screenshot as proof of isolation or these materials as sufficient evidence of the described deployment. Therefore C=no and E=yes.</x:v>
      </x:c>
      <x:c r="H13" s="8" t="str">
        <x:f t="shared" si="0">IF(OR(COUNTIFS(C13:E13,"yes")+COUNTIFS(C13:E13,"no")+COUNTIFS(C13:E13,"uncertain")&lt;&gt;3,TRIM(F13)=""),"pending",IF(COUNTIFS(C13:E13,"uncertain")&gt;0,"recorded with uncertainty","recorded"))</x:f>
        <x:v>recorded</x:v>
      </x:c>
      <x:c r="I13" s="8" t="s">
        <x:v>20</x:v>
      </x:c>
    </x:row>
    <x:row r="14" ht="72" hidden="0" customHeight="1">
      <x:c r="A14" s="2" t="s">
        <x:v>22</x:v>
      </x:c>
      <x:c r="B14" s="2" t="s">
        <x:v>17</x:v>
      </x:c>
      <x:c r="C14" s="7" t="str">
        <x:v>no</x:v>
      </x:c>
      <x:c r="D14" s="7" t="str">
        <x:v>no</x:v>
      </x:c>
      <x:c r="E14" s="7" t="str">
        <x:v>no</x:v>
      </x:c>
      <x:c r="F14" s="7" t="str">
        <x:v>Wenjia Wang</x:v>
      </x:c>
      <x:c r="G14" s="7" t="str">
        <x:v>The answer restates CP-7 implementation duties but does not explain whether the LOW baseline selects this control, whether the i-Assure template applies, or how to confirm either point. It omits the need for baseline and tailoring evidence. The two ODP requests cannot resolve applicability. No implementation or legal claim was found. The audit note describes cp-7_prm_1 as asking for a duration, but the displayed prompt does not explicitly do so. The supported observation is that it fails to identify the required system operations clearly.</x:v>
      </x:c>
      <x:c r="H14" s="8" t="str">
        <x:f t="shared" si="0">IF(OR(COUNTIFS(C14:E14,"yes")+COUNTIFS(C14:E14,"no")+COUNTIFS(C14:E14,"uncertain")&lt;&gt;3,TRIM(F14)=""),"pending",IF(COUNTIFS(C14:E14,"uncertain")&gt;0,"recorded with uncertainty","recorded"))</x:f>
        <x:v>recorded</x:v>
      </x:c>
      <x:c r="I14" s="8" t="s">
        <x:v>18</x:v>
      </x:c>
    </x:row>
    <x:row r="15" ht="60" hidden="0" customHeight="1">
      <x:c r="A15" s="2" t="s">
        <x:v>22</x:v>
      </x:c>
      <x:c r="B15" s="2" t="s">
        <x:v>19</x:v>
      </x:c>
      <x:c r="C15" s="7" t="str">
        <x:v>no</x:v>
      </x:c>
      <x:c r="D15" s="7" t="str">
        <x:v>no</x:v>
      </x:c>
      <x:c r="E15" s="7" t="str">
        <x:v>yes</x:v>
      </x:c>
      <x:c r="F15" s="7" t="str">
        <x:v>Wenjia Wang</x:v>
      </x:c>
      <x:c r="G15" s="7" t="str">
        <x:v>The answer treats the need for an alternate site as an organizational choice and uses the template's LOW context to suggest that implementation may be unnecessary. The supplied clauses establish neither applicability conclusion. It does not explain which applicable baseline or tailoring evidence should confirm the template's conclusion, omitting the original post's final main question.</x:v>
      </x:c>
      <x:c r="H15" s="8" t="str">
        <x:f t="shared" si="0">IF(OR(COUNTIFS(C15:E15,"yes")+COUNTIFS(C15:E15,"no")+COUNTIFS(C15:E15,"uncertain")&lt;&gt;3,TRIM(F15)=""),"pending",IF(COUNTIFS(C15:E15,"uncertain")&gt;0,"recorded with uncertainty","recorded"))</x:f>
        <x:v>recorded</x:v>
      </x:c>
      <x:c r="I15" s="8" t="s">
        <x:v>20</x:v>
      </x:c>
    </x:row>
    <x:row r="16" ht="60" hidden="0" customHeight="1">
      <x:c r="A16" s="2" t="s">
        <x:v>23</x:v>
      </x:c>
      <x:c r="B16" s="2" t="s">
        <x:v>17</x:v>
      </x:c>
      <x:c r="C16" s="7" t="str">
        <x:v>yes</x:v>
      </x:c>
      <x:c r="D16" s="7" t="str">
        <x:v>yes</x:v>
      </x:c>
      <x:c r="E16" s="7" t="str">
        <x:v>no</x:v>
      </x:c>
      <x:c r="F16" s="7" t="str">
        <x:v>Wenjia Wang</x:v>
      </x:c>
      <x:c r="G16" s="7" t="str">
        <x:v>The AC-2 citation explicitly lists service accounts and requires selecting account types. This adequately answers the request for guidance on where to find the requirement. The answer makes no system-compliance or audit-acceptance claim. The account-type and review-frequency ODP requests are unnecessary and should not be prerequisites for obtaining this guidance.</x:v>
      </x:c>
      <x:c r="H16" s="8" t="str">
        <x:f t="shared" si="0">IF(OR(COUNTIFS(C16:E16,"yes")+COUNTIFS(C16:E16,"no")+COUNTIFS(C16:E16,"uncertain")&lt;&gt;3,TRIM(F16)=""),"pending",IF(COUNTIFS(C16:E16,"uncertain")&gt;0,"recorded with uncertainty","recorded"))</x:f>
        <x:v>recorded</x:v>
      </x:c>
      <x:c r="I16" s="8" t="s">
        <x:v>18</x:v>
      </x:c>
    </x:row>
    <x:row r="17" ht="48" hidden="0" customHeight="1">
      <x:c r="A17" s="2" t="s">
        <x:v>23</x:v>
      </x:c>
      <x:c r="B17" s="2" t="s">
        <x:v>19</x:v>
      </x:c>
      <x:c r="C17" s="7" t="str">
        <x:v>no</x:v>
      </x:c>
      <x:c r="D17" s="7" t="str">
        <x:v>no</x:v>
      </x:c>
      <x:c r="E17" s="7" t="str">
        <x:v>no</x:v>
      </x:c>
      <x:c r="F17" s="7" t="str">
        <x:v>Wenjia Wang</x:v>
      </x:c>
      <x:c r="G17" s="7" t="str">
        <x:v>The final answer is empty and provides neither AC-2 service-account guidance nor a scope explanation. Relevant clauses were available, so this failure is not an evidence-based abstention. There is no actual claim, so E=no. ERROR alone does not count as an implementation or legal error.</x:v>
      </x:c>
      <x:c r="H17" s="8" t="str">
        <x:f t="shared" si="0">IF(OR(COUNTIFS(C17:E17,"yes")+COUNTIFS(C17:E17,"no")+COUNTIFS(C17:E17,"uncertain")&lt;&gt;3,TRIM(F17)=""),"pending",IF(COUNTIFS(C17:E17,"uncertain")&gt;0,"recorded with uncertainty","recorded"))</x:f>
        <x:v>recorded</x:v>
      </x:c>
      <x:c r="I17" s="8" t="s">
        <x:v>24</x:v>
      </x:c>
    </x:row>
    <x:row r="18" ht="60" hidden="0" customHeight="1">
      <x:c r="A18" s="2" t="s">
        <x:v>25</x:v>
      </x:c>
      <x:c r="B18" s="2" t="s">
        <x:v>17</x:v>
      </x:c>
      <x:c r="C18" s="7" t="str">
        <x:v>no</x:v>
      </x:c>
      <x:c r="D18" s="7" t="str">
        <x:v>no</x:v>
      </x:c>
      <x:c r="E18" s="7" t="str">
        <x:v>no</x:v>
      </x:c>
      <x:c r="F18" s="7" t="str">
        <x:v>Wenjia Wang</x:v>
      </x:c>
      <x:c r="G18" s="7" t="str">
        <x:v>The answer repeats the two SI-11 duties already quoted by the user. It does not assess the inference that using COTS allows reliance on the supplier or explain that responsibility allocation requires configuration, validation, and contractual evidence. The personnel/role ODP is unnecessary for explaining responsibility, and its prompt also mixes in gdn guidance. No new implementation or legal claim was found.</x:v>
      </x:c>
      <x:c r="H18" s="8" t="str">
        <x:f t="shared" si="0">IF(OR(COUNTIFS(C18:E18,"yes")+COUNTIFS(C18:E18,"no")+COUNTIFS(C18:E18,"uncertain")&lt;&gt;3,TRIM(F18)=""),"pending",IF(COUNTIFS(C18:E18,"uncertain")&gt;0,"recorded with uncertainty","recorded"))</x:f>
        <x:v>recorded</x:v>
      </x:c>
      <x:c r="I18" s="8" t="s">
        <x:v>18</x:v>
      </x:c>
    </x:row>
    <x:row r="19" ht="60" hidden="0" customHeight="1">
      <x:c r="A19" s="2" t="s">
        <x:v>25</x:v>
      </x:c>
      <x:c r="B19" s="2" t="s">
        <x:v>19</x:v>
      </x:c>
      <x:c r="C19" s="7" t="str">
        <x:v>no</x:v>
      </x:c>
      <x:c r="D19" s="7" t="str">
        <x:v>yes</x:v>
      </x:c>
      <x:c r="E19" s="7" t="str">
        <x:v>yes</x:v>
      </x:c>
      <x:c r="F19" s="7" t="str">
        <x:v>Wenjia Wang</x:v>
      </x:c>
      <x:c r="G19" s="7" t="str">
        <x:v>The answer directly evaluates the user's three responsibility scenarios involving COTS, customization, and development, so it addresses the requested content. However, SI-11 does not establish the affirmative conclusion that an uncustomized product permits reliance on the supplier's implementation. The answer omits the evidence limits concerning organizational validation and actual responsibility allocation.</x:v>
      </x:c>
      <x:c r="H19" s="8" t="str">
        <x:f t="shared" si="0">IF(OR(COUNTIFS(C19:E19,"yes")+COUNTIFS(C19:E19,"no")+COUNTIFS(C19:E19,"uncertain")&lt;&gt;3,TRIM(F19)=""),"pending",IF(COUNTIFS(C19:E19,"uncertain")&gt;0,"recorded with uncertainty","recorded"))</x:f>
        <x:v>recorded</x:v>
      </x:c>
      <x:c r="I19" s="8" t="s">
        <x:v>20</x:v>
      </x:c>
    </x:row>
    <x:row r="20" ht="48" hidden="0" customHeight="1">
      <x:c r="A20" s="2" t="s">
        <x:v>26</x:v>
      </x:c>
      <x:c r="B20" s="2" t="s">
        <x:v>17</x:v>
      </x:c>
      <x:c r="C20" s="7" t="str">
        <x:v>no</x:v>
      </x:c>
      <x:c r="D20" s="7" t="str">
        <x:v>no</x:v>
      </x:c>
      <x:c r="E20" s="7" t="str">
        <x:v>no</x:v>
      </x:c>
      <x:c r="F20" s="7" t="str">
        <x:v>Wenjia Wang</x:v>
      </x:c>
      <x:c r="G20" s="7" t="str">
        <x:v>Selecting a control baseline is neither the requested filterable Excel template nor a resource for obtaining it. The answer does not explain that the clause library cannot supply the file or baseline-membership table. It invents neither a template nor a compliance conclusion, so E=no, but handles the request's scope inadequately.</x:v>
      </x:c>
      <x:c r="H20" s="8" t="str">
        <x:f t="shared" si="0">IF(OR(COUNTIFS(C20:E20,"yes")+COUNTIFS(C20:E20,"no")+COUNTIFS(C20:E20,"uncertain")&lt;&gt;3,TRIM(F20)=""),"pending",IF(COUNTIFS(C20:E20,"uncertain")&gt;0,"recorded with uncertainty","recorded"))</x:f>
        <x:v>recorded</x:v>
      </x:c>
      <x:c r="I20" s="8" t="s">
        <x:v>20</x:v>
      </x:c>
    </x:row>
    <x:row r="21" ht="48" hidden="0" customHeight="1">
      <x:c r="A21" s="2" t="s">
        <x:v>26</x:v>
      </x:c>
      <x:c r="B21" s="2" t="s">
        <x:v>19</x:v>
      </x:c>
      <x:c r="C21" s="7" t="str">
        <x:v>yes</x:v>
      </x:c>
      <x:c r="D21" s="7" t="str">
        <x:v>no</x:v>
      </x:c>
      <x:c r="E21" s="7" t="str">
        <x:v>no</x:v>
      </x:c>
      <x:c r="F21" s="7" t="str">
        <x:v>Wenjia Wang</x:v>
      </x:c>
      <x:c r="G21" s="7" t="str">
        <x:v>The supplied clause evidence cannot provide the requested filterable template. NO_EVIDENCE avoids inventing a file and is acceptable in scope. The final body is empty and gives neither an explanation of the limitation nor a resource direction, so D=no. There is no claim, so E=no.</x:v>
      </x:c>
      <x:c r="H21" s="8" t="str">
        <x:f t="shared" si="0">IF(OR(COUNTIFS(C21:E21,"yes")+COUNTIFS(C21:E21,"no")+COUNTIFS(C21:E21,"uncertain")&lt;&gt;3,TRIM(F21)=""),"pending",IF(COUNTIFS(C21:E21,"uncertain")&gt;0,"recorded with uncertainty","recorded"))</x:f>
        <x:v>recorded</x:v>
      </x:c>
      <x:c r="I21" s="8" t="s">
        <x:v>27</x:v>
      </x:c>
    </x:row>
    <x:row r="22" ht="60" hidden="0" customHeight="1">
      <x:c r="A22" s="2" t="s">
        <x:v>28</x:v>
      </x:c>
      <x:c r="B22" s="2" t="s">
        <x:v>17</x:v>
      </x:c>
      <x:c r="C22" s="7" t="str">
        <x:v>no</x:v>
      </x:c>
      <x:c r="D22" s="7" t="str">
        <x:v>no</x:v>
      </x:c>
      <x:c r="E22" s="7" t="str">
        <x:v>no</x:v>
      </x:c>
      <x:c r="F22" s="7" t="str">
        <x:v>Wenjia Wang</x:v>
      </x:c>
      <x:c r="G22" s="7" t="str">
        <x:v>The answer discusses AC-3(4) discretionary access control. It does not explain the cloud-service authorization boundary, the scope of the system, or external-service responsibilities. It also omits the need for additional evidence about the actual boundary. The requested discretionary-access policy is irrelevant. This is a mismatch and an incomplete response; no separate implementation or legal claim was found.</x:v>
      </x:c>
      <x:c r="H22" s="8" t="str">
        <x:f t="shared" si="0">IF(OR(COUNTIFS(C22:E22,"yes")+COUNTIFS(C22:E22,"no")+COUNTIFS(C22:E22,"uncertain")&lt;&gt;3,TRIM(F22)=""),"pending",IF(COUNTIFS(C22:E22,"uncertain")&gt;0,"recorded with uncertainty","recorded"))</x:f>
        <x:v>recorded</x:v>
      </x:c>
      <x:c r="I22" s="8" t="s">
        <x:v>18</x:v>
      </x:c>
    </x:row>
    <x:row r="23" ht="48" hidden="0" customHeight="1">
      <x:c r="A23" s="2" t="s">
        <x:v>28</x:v>
      </x:c>
      <x:c r="B23" s="2" t="s">
        <x:v>19</x:v>
      </x:c>
      <x:c r="C23" s="7" t="str">
        <x:v>yes</x:v>
      </x:c>
      <x:c r="D23" s="7" t="str">
        <x:v>no</x:v>
      </x:c>
      <x:c r="E23" s="7" t="str">
        <x:v>no</x:v>
      </x:c>
      <x:c r="F23" s="7" t="str">
        <x:v>Wenjia Wang</x:v>
      </x:c>
      <x:c r="G23" s="7" t="str">
        <x:v>Cross-checking confirmed that the context supplied to the model lacked PL-2/SA-9 evidence about boundaries and external services. Declining to infer a boundary from unrelated clauses is reasonable. The empty body still omits the evidence limits, responsibility allocation, and required information, so D=no. There is no claim, so E=no.</x:v>
      </x:c>
      <x:c r="H23" s="8" t="str">
        <x:f t="shared" si="0">IF(OR(COUNTIFS(C23:E23,"yes")+COUNTIFS(C23:E23,"no")+COUNTIFS(C23:E23,"uncertain")&lt;&gt;3,TRIM(F23)=""),"pending",IF(COUNTIFS(C23:E23,"uncertain")&gt;0,"recorded with uncertainty","recorded"))</x:f>
        <x:v>recorded</x:v>
      </x:c>
      <x:c r="I23" s="8" t="s">
        <x:v>27</x:v>
      </x:c>
    </x:row>
    <x:row r="24" ht="60" hidden="0" customHeight="1">
      <x:c r="A24" s="2" t="s">
        <x:v>29</x:v>
      </x:c>
      <x:c r="B24" s="2" t="s">
        <x:v>17</x:v>
      </x:c>
      <x:c r="C24" s="7" t="str">
        <x:v>no</x:v>
      </x:c>
      <x:c r="D24" s="7" t="str">
        <x:v>no</x:v>
      </x:c>
      <x:c r="E24" s="7" t="str">
        <x:v>no</x:v>
      </x:c>
      <x:c r="F24" s="7" t="str">
        <x:v>Wenjia Wang</x:v>
      </x:c>
      <x:c r="G24" s="7" t="str">
        <x:v>The answer provides only PL-11 baseline-tailoring text. It does not compare NIST 800-53 with FedRAMP, assess whether Moderate controls satisfy program requirements, or explain the need for external FedRAMP authority. It does not explicitly assert that Moderate is sufficient for authorization, so E=no. Scope handling and the response to the entire question are both inadequate.</x:v>
      </x:c>
      <x:c r="H24" s="8" t="str">
        <x:f t="shared" si="0">IF(OR(COUNTIFS(C24:E24,"yes")+COUNTIFS(C24:E24,"no")+COUNTIFS(C24:E24,"uncertain")&lt;&gt;3,TRIM(F24)=""),"pending",IF(COUNTIFS(C24:E24,"uncertain")&gt;0,"recorded with uncertainty","recorded"))</x:f>
        <x:v>recorded</x:v>
      </x:c>
      <x:c r="I24" s="8" t="s">
        <x:v>20</x:v>
      </x:c>
    </x:row>
    <x:row r="25" ht="48" hidden="0" customHeight="1">
      <x:c r="A25" s="2" t="s">
        <x:v>29</x:v>
      </x:c>
      <x:c r="B25" s="2" t="s">
        <x:v>19</x:v>
      </x:c>
      <x:c r="C25" s="7" t="str">
        <x:v>yes</x:v>
      </x:c>
      <x:c r="D25" s="7" t="str">
        <x:v>no</x:v>
      </x:c>
      <x:c r="E25" s="7" t="str">
        <x:v>no</x:v>
      </x:c>
      <x:c r="F25" s="7" t="str">
        <x:v>Wenjia Wang</x:v>
      </x:c>
      <x:c r="G25" s="7" t="str">
        <x:v>The supplied evidence cannot establish FedRAMP program requirements or authorization sufficiency. NO_EVIDENCE avoids an unsupported program conclusion. The final empty answer does not explain the difference between the frameworks or the evidence limits, so D=no. There is no claim, so E=no.</x:v>
      </x:c>
      <x:c r="H25" s="8" t="str">
        <x:f t="shared" si="0">IF(OR(COUNTIFS(C25:E25,"yes")+COUNTIFS(C25:E25,"no")+COUNTIFS(C25:E25,"uncertain")&lt;&gt;3,TRIM(F25)=""),"pending",IF(COUNTIFS(C25:E25,"uncertain")&gt;0,"recorded with uncertainty","recorded"))</x:f>
        <x:v>recorded</x:v>
      </x:c>
      <x:c r="I25" s="8" t="s">
        <x:v>27</x:v>
      </x:c>
    </x:row>
    <x:row r="26" ht="72" hidden="0" customHeight="1">
      <x:c r="A26" s="2" t="s">
        <x:v>30</x:v>
      </x:c>
      <x:c r="B26" s="2" t="s">
        <x:v>17</x:v>
      </x:c>
      <x:c r="C26" s="7" t="str">
        <x:v>no</x:v>
      </x:c>
      <x:c r="D26" s="7" t="str">
        <x:v>no</x:v>
      </x:c>
      <x:c r="E26" s="7" t="str">
        <x:v>no</x:v>
      </x:c>
      <x:c r="F26" s="7" t="str">
        <x:v>Wenjia Wang</x:v>
      </x:c>
      <x:c r="G26" s="7" t="str">
        <x:v>The answer includes AU-2 event-selection content but lacks AU-3/AU-12 record-content and generation-component requirements. It does not explain that clauses alone cannot establish the Kiwi configuration or complete compliance, and it omits au-12_odp.01. Its prompts ask for organizational units instead of event types, a duration instead of alert personnel, and durations instead of events and logging conditions. These prompts cannot obtain the required information. The input errors themselves do not count as E-type claims.</x:v>
      </x:c>
      <x:c r="H26" s="8" t="str">
        <x:f t="shared" si="0">IF(OR(COUNTIFS(C26:E26,"yes")+COUNTIFS(C26:E26,"no")+COUNTIFS(C26:E26,"uncertain")&lt;&gt;3,TRIM(F26)=""),"pending",IF(COUNTIFS(C26:E26,"uncertain")&gt;0,"recorded with uncertainty","recorded"))</x:f>
        <x:v>recorded</x:v>
      </x:c>
      <x:c r="I26" s="8" t="s">
        <x:v>18</x:v>
      </x:c>
    </x:row>
    <x:row r="27" ht="60" hidden="0" customHeight="1">
      <x:c r="A27" s="2" t="s">
        <x:v>30</x:v>
      </x:c>
      <x:c r="B27" s="2" t="s">
        <x:v>19</x:v>
      </x:c>
      <x:c r="C27" s="7" t="str">
        <x:v>uncertain</x:v>
      </x:c>
      <x:c r="D27" s="7" t="str">
        <x:v>no</x:v>
      </x:c>
      <x:c r="E27" s="7" t="str">
        <x:v>no</x:v>
      </x:c>
      <x:c r="F27" s="7" t="str">
        <x:v>Wenjia Wang</x:v>
      </x:c>
      <x:c r="G27" s="7" t="str">
        <x:v>The body is empty. It neither explains logging requirements nor asks for event types, logging conditions, or generation components, so D=no. There is no claim, so E=no. C remains uncertain: the context lacks AU-3/AU-12 and cannot establish the actual configuration, but AU-2 supports a partial explanation. The empty answer does not show whether this is a reasonable limit or excessive abstention.</x:v>
      </x:c>
      <x:c r="H27" s="8" t="str">
        <x:f t="shared" si="0">IF(OR(COUNTIFS(C27:E27,"yes")+COUNTIFS(C27:E27,"no")+COUNTIFS(C27:E27,"uncertain")&lt;&gt;3,TRIM(F27)=""),"pending",IF(COUNTIFS(C27:E27,"uncertain")&gt;0,"recorded with uncertainty","recorded"))</x:f>
        <x:v>recorded with uncertainty</x:v>
      </x:c>
      <x:c r="I27" s="8" t="s">
        <x:v>27</x:v>
      </x:c>
    </x:row>
    <x:row r="28" ht="48" hidden="0" customHeight="1">
      <x:c r="A28" s="2" t="s">
        <x:v>31</x:v>
      </x:c>
      <x:c r="B28" s="2" t="s">
        <x:v>17</x:v>
      </x:c>
      <x:c r="C28" s="7" t="str">
        <x:v>yes</x:v>
      </x:c>
      <x:c r="D28" s="7" t="str">
        <x:v>no</x:v>
      </x:c>
      <x:c r="E28" s="7" t="str">
        <x:v>no</x:v>
      </x:c>
      <x:c r="F28" s="7" t="str">
        <x:v>Wenjia Wang</x:v>
      </x:c>
      <x:c r="G28" s="7" t="str">
        <x:v>The answer stays within baseline-selection principles and directs national security systems to CNSSI 1253. It does not claim that general NIST baselines establish this SCIF's program requirements, so C=yes and E=no. It still omits the specific DISA/DAAPM applicability basis and the question about continuous implementation, leaving the entire question unanswered.</x:v>
      </x:c>
      <x:c r="H28" s="8" t="str">
        <x:f t="shared" si="0">IF(OR(COUNTIFS(C28:E28,"yes")+COUNTIFS(C28:E28,"no")+COUNTIFS(C28:E28,"uncertain")&lt;&gt;3,TRIM(F28)=""),"pending",IF(COUNTIFS(C28:E28,"uncertain")&gt;0,"recorded with uncertainty","recorded"))</x:f>
        <x:v>recorded</x:v>
      </x:c>
      <x:c r="I28" s="8" t="s">
        <x:v>20</x:v>
      </x:c>
    </x:row>
    <x:row r="29" ht="48" hidden="0" customHeight="1">
      <x:c r="A29" s="2" t="s">
        <x:v>31</x:v>
      </x:c>
      <x:c r="B29" s="2" t="s">
        <x:v>19</x:v>
      </x:c>
      <x:c r="C29" s="7" t="str">
        <x:v>yes</x:v>
      </x:c>
      <x:c r="D29" s="7" t="str">
        <x:v>no</x:v>
      </x:c>
      <x:c r="E29" s="7" t="str">
        <x:v>no</x:v>
      </x:c>
      <x:c r="F29" s="7" t="str">
        <x:v>Wenjia Wang</x:v>
      </x:c>
      <x:c r="G29" s="7" t="str">
        <x:v>Without the applicable SCIF and DISA/DAAPM program authority, declining to conclude which controls apply or whether continuous implementation is required is reasonable. The empty answer does not identify the agency, baseline, or authorization information needed and does not address either question, so D=no. There is no claim, so E=no.</x:v>
      </x:c>
      <x:c r="H29" s="8" t="str">
        <x:f t="shared" si="0">IF(OR(COUNTIFS(C29:E29,"yes")+COUNTIFS(C29:E29,"no")+COUNTIFS(C29:E29,"uncertain")&lt;&gt;3,TRIM(F29)=""),"pending",IF(COUNTIFS(C29:E29,"uncertain")&gt;0,"recorded with uncertainty","recorded"))</x:f>
        <x:v>recorded</x:v>
      </x:c>
      <x:c r="I29" s="8" t="s">
        <x:v>27</x:v>
      </x:c>
    </x:row>
    <x:row r="30" ht="60" hidden="0" customHeight="1">
      <x:c r="A30" s="2" t="s">
        <x:v>32</x:v>
      </x:c>
      <x:c r="B30" s="2" t="s">
        <x:v>17</x:v>
      </x:c>
      <x:c r="C30" s="7" t="str">
        <x:v>yes</x:v>
      </x:c>
      <x:c r="D30" s="7" t="str">
        <x:v>no</x:v>
      </x:c>
      <x:c r="E30" s="7" t="str">
        <x:v>no</x:v>
      </x:c>
      <x:c r="F30" s="7" t="str">
        <x:v>Wenjia Wang</x:v>
      </x:c>
      <x:c r="G30" s="7" t="str">
        <x:v>The citations remain within SI-3 and introduce no deployment or legal conclusion. However, the answer does not expand the selection options or explain the two duties: one or more response actions plus a separate alert. It also omits the conditional nature of custom actions. The five ODP requests are unnecessary for explaining the syntax. si-03_odp.03 should select endpoints or network entry/exit points but is presented as a duration.</x:v>
      </x:c>
      <x:c r="H30" s="8" t="str">
        <x:f t="shared" si="0">IF(OR(COUNTIFS(C30:E30,"yes")+COUNTIFS(C30:E30,"no")+COUNTIFS(C30:E30,"uncertain")&lt;&gt;3,TRIM(F30)=""),"pending",IF(COUNTIFS(C30:E30,"uncertain")&gt;0,"recorded with uncertainty","recorded"))</x:f>
        <x:v>recorded</x:v>
      </x:c>
      <x:c r="I30" s="8" t="s">
        <x:v>18</x:v>
      </x:c>
    </x:row>
    <x:row r="31" ht="48" hidden="0" customHeight="1">
      <x:c r="A31" s="2" t="s">
        <x:v>32</x:v>
      </x:c>
      <x:c r="B31" s="2" t="s">
        <x:v>19</x:v>
      </x:c>
      <x:c r="C31" s="7" t="str">
        <x:v>no</x:v>
      </x:c>
      <x:c r="D31" s="7" t="str">
        <x:v>no</x:v>
      </x:c>
      <x:c r="E31" s="7" t="str">
        <x:v>no</x:v>
      </x:c>
      <x:c r="F31" s="7" t="str">
        <x:v>Wenjia Wang</x:v>
      </x:c>
      <x:c r="G31" s="7" t="str">
        <x:v>The final answer is empty and does not explain the two duties. The question already gives the full selection structure, and SI-3c.2 is available. The answer provides no evidence-based scope reason for abstaining. There is no actual claim, so E=no. A runtime parsing error alone is not an implementation or legal error.</x:v>
      </x:c>
      <x:c r="H31" s="8" t="str">
        <x:f t="shared" si="0">IF(OR(COUNTIFS(C31:E31,"yes")+COUNTIFS(C31:E31,"no")+COUNTIFS(C31:E31,"uncertain")&lt;&gt;3,TRIM(F31)=""),"pending",IF(COUNTIFS(C31:E31,"uncertain")&gt;0,"recorded with uncertainty","recorded"))</x:f>
        <x:v>recorded</x:v>
      </x:c>
      <x:c r="I31" s="8" t="s">
        <x:v>24</x:v>
      </x:c>
    </x:row>
    <x:row r="32" ht="48" hidden="0" customHeight="1">
      <x:c r="A32" s="2" t="s">
        <x:v>33</x:v>
      </x:c>
      <x:c r="B32" s="2" t="s">
        <x:v>17</x:v>
      </x:c>
      <x:c r="C32" s="7" t="str">
        <x:v>no</x:v>
      </x:c>
      <x:c r="D32" s="7" t="str">
        <x:v>no</x:v>
      </x:c>
      <x:c r="E32" s="7" t="str">
        <x:v>no</x:v>
      </x:c>
      <x:c r="F32" s="7" t="str">
        <x:v>Wenjia Wang</x:v>
      </x:c>
      <x:c r="G32" s="7" t="str">
        <x:v>The answer explains only AC-12 user-session termination. It omits SC-10 network connections and their time-limit parameter, whether 364 days is reasonable, and whether a government definition exists. Although it asks for ac-12_odp, it does not explain that specific limits and legal judgments require external authority. It invents no time limit, so E=no.</x:v>
      </x:c>
      <x:c r="H32" s="8" t="str">
        <x:f t="shared" si="0">IF(OR(COUNTIFS(C32:E32,"yes")+COUNTIFS(C32:E32,"no")+COUNTIFS(C32:E32,"uncertain")&lt;&gt;3,TRIM(F32)=""),"pending",IF(COUNTIFS(C32:E32,"uncertain")&gt;0,"recorded with uncertainty","recorded"))</x:f>
        <x:v>recorded</x:v>
      </x:c>
      <x:c r="I32" s="8" t="s">
        <x:v>18</x:v>
      </x:c>
    </x:row>
    <x:row r="33" ht="60" hidden="0" customHeight="1">
      <x:c r="A33" s="2" t="s">
        <x:v>33</x:v>
      </x:c>
      <x:c r="B33" s="2" t="s">
        <x:v>19</x:v>
      </x:c>
      <x:c r="C33" s="7" t="str">
        <x:v>no</x:v>
      </x:c>
      <x:c r="D33" s="7" t="str">
        <x:v>yes</x:v>
      </x:c>
      <x:c r="E33" s="7" t="str">
        <x:v>yes</x:v>
      </x:c>
      <x:c r="F33" s="7" t="str">
        <x:v>Wenjia Wang</x:v>
      </x:c>
      <x:c r="G33" s="7" t="str">
        <x:v>The text separately addresses whether 364 days is appropriate and whether a government definition exists, so D=yes. This does not establish support for its conclusions. The cited clauses support neither a claimed 15-minute-to-one-hour convention or best practice nor the broad assertion that no government definition exists. Organizational and program constraints were not checked, so C=no and E=yes.</x:v>
      </x:c>
      <x:c r="H33" s="8" t="str">
        <x:f t="shared" si="0">IF(OR(COUNTIFS(C33:E33,"yes")+COUNTIFS(C33:E33,"no")+COUNTIFS(C33:E33,"uncertain")&lt;&gt;3,TRIM(F33)=""),"pending",IF(COUNTIFS(C33:E33,"uncertain")&gt;0,"recorded with uncertainty","recorded"))</x:f>
        <x:v>recorded</x:v>
      </x:c>
      <x:c r="I33" s="8" t="s">
        <x:v>20</x:v>
      </x:c>
    </x:row>
    <x:row r="34" ht="48" hidden="0" customHeight="1">
      <x:c r="A34" s="2" t="s">
        <x:v>34</x:v>
      </x:c>
      <x:c r="B34" s="2" t="s">
        <x:v>17</x:v>
      </x:c>
      <x:c r="C34" s="7" t="str">
        <x:v>no</x:v>
      </x:c>
      <x:c r="D34" s="7" t="str">
        <x:v>no</x:v>
      </x:c>
      <x:c r="E34" s="7" t="str">
        <x:v>no</x:v>
      </x:c>
      <x:c r="F34" s="7" t="str">
        <x:v>Wenjia Wang</x:v>
      </x:c>
      <x:c r="G34" s="7" t="str">
        <x:v>The PL-10 baseline introduction supplies no authoritative PCI DSS-to-800-53 Rev. 5 mapping, version, or search direction. It also does not explain that cross-framework mapping lies outside the supplied clause evidence. It fabricates no specific mapping, so E=no. The general text does not fully answer the original question.</x:v>
      </x:c>
      <x:c r="H34" s="8" t="str">
        <x:f t="shared" si="0">IF(OR(COUNTIFS(C34:E34,"yes")+COUNTIFS(C34:E34,"no")+COUNTIFS(C34:E34,"uncertain")&lt;&gt;3,TRIM(F34)=""),"pending",IF(COUNTIFS(C34:E34,"uncertain")&gt;0,"recorded with uncertainty","recorded"))</x:f>
        <x:v>recorded</x:v>
      </x:c>
      <x:c r="I34" s="8" t="s">
        <x:v>20</x:v>
      </x:c>
    </x:row>
    <x:row r="35" ht="48" hidden="0" customHeight="1">
      <x:c r="A35" s="2" t="s">
        <x:v>34</x:v>
      </x:c>
      <x:c r="B35" s="2" t="s">
        <x:v>19</x:v>
      </x:c>
      <x:c r="C35" s="7" t="str">
        <x:v>yes</x:v>
      </x:c>
      <x:c r="D35" s="7" t="str">
        <x:v>no</x:v>
      </x:c>
      <x:c r="E35" s="7" t="str">
        <x:v>no</x:v>
      </x:c>
      <x:c r="F35" s="7" t="str">
        <x:v>Wenjia Wang</x:v>
      </x:c>
      <x:c r="G35" s="7" t="str">
        <x:v>The current materials contain no authoritative cross-framework mapping. NO_EVIDENCE avoids inventing a crosswalk and is acceptable in scope. The body is empty and does not explain the limitation or the need to identify the PCI DSS version and an external mapping source, so D=no. There is no claim, so E=no.</x:v>
      </x:c>
      <x:c r="H35" s="8" t="str">
        <x:f t="shared" si="0">IF(OR(COUNTIFS(C35:E35,"yes")+COUNTIFS(C35:E35,"no")+COUNTIFS(C35:E35,"uncertain")&lt;&gt;3,TRIM(F35)=""),"pending",IF(COUNTIFS(C35:E35,"uncertain")&gt;0,"recorded with uncertainty","recorded"))</x:f>
        <x:v>recorded</x:v>
      </x:c>
      <x:c r="I35" s="8" t="s">
        <x:v>27</x:v>
      </x:c>
    </x:row>
    <x:row r="36" ht="84" hidden="0" customHeight="1">
      <x:c r="A36" s="2" t="s">
        <x:v>35</x:v>
      </x:c>
      <x:c r="B36" s="2" t="s">
        <x:v>17</x:v>
      </x:c>
      <x:c r="C36" s="7" t="str">
        <x:v>no</x:v>
      </x:c>
      <x:c r="D36" s="7" t="str">
        <x:v>no</x:v>
      </x:c>
      <x:c r="E36" s="7" t="str">
        <x:v>no</x:v>
      </x:c>
      <x:c r="F36" s="7" t="str">
        <x:v>Wenjia Wang</x:v>
      </x:c>
      <x:c r="G36" s="7" t="str">
        <x:v>The SI-2 parent clause does contain duties to identify and correct flaws and track them through configuration management. Missing child-clause IDs therefore do not mean that all relevant content is absent. However, the long excerpt does not explain applicability to non-CVE, non-operating-system flaws or the evidence limits for specific supplier flaws and automated tracking tools. The four additional requests, including remediation deadlines, scan frequency, and sharing personnel, do not resolve the two main questions. No new implementation or legal claim was found.</x:v>
      </x:c>
      <x:c r="H36" s="8" t="str">
        <x:f t="shared" si="0">IF(OR(COUNTIFS(C36:E36,"yes")+COUNTIFS(C36:E36,"no")+COUNTIFS(C36:E36,"uncertain")&lt;&gt;3,TRIM(F36)=""),"pending",IF(COUNTIFS(C36:E36,"uncertain")&gt;0,"recorded with uncertainty","recorded"))</x:f>
        <x:v>recorded</x:v>
      </x:c>
      <x:c r="I36" s="8" t="s">
        <x:v>18</x:v>
      </x:c>
    </x:row>
    <x:row r="37" ht="60" hidden="0" customHeight="1">
      <x:c r="A37" s="2" t="s">
        <x:v>35</x:v>
      </x:c>
      <x:c r="B37" s="2" t="s">
        <x:v>19</x:v>
      </x:c>
      <x:c r="C37" s="7" t="str">
        <x:v>no</x:v>
      </x:c>
      <x:c r="D37" s="7" t="str">
        <x:v>yes</x:v>
      </x:c>
      <x:c r="E37" s="7" t="str">
        <x:v>yes</x:v>
      </x:c>
      <x:c r="F37" s="7" t="str">
        <x:v>Wenjia Wang</x:v>
      </x:c>
      <x:c r="G37" s="7" t="str">
        <x:v>The answer explains that SI-2 flaws extend beyond CVEs and suggests directions for controls and tracking tools, addressing both main requests. However, its citations do not establish that automated patch management or CA-7 tools can track these non-CVE, non-operating-system supplier flaws. The listed citations also do not support the SI-2(4) tool capability, so C=no and E=yes.</x:v>
      </x:c>
      <x:c r="H37" s="8" t="str">
        <x:f t="shared" si="0">IF(OR(COUNTIFS(C37:E37,"yes")+COUNTIFS(C37:E37,"no")+COUNTIFS(C37:E37,"uncertain")&lt;&gt;3,TRIM(F37)=""),"pending",IF(COUNTIFS(C37:E37,"uncertain")&gt;0,"recorded with uncertainty","recorded"))</x:f>
        <x:v>recorded</x:v>
      </x:c>
      <x:c r="I37" s="8" t="s">
        <x:v>20</x:v>
      </x:c>
    </x:row>
    <x:row r="38" ht="48" hidden="0" customHeight="1">
      <x:c r="A38" s="2" t="s">
        <x:v>36</x:v>
      </x:c>
      <x:c r="B38" s="2" t="s">
        <x:v>17</x:v>
      </x:c>
      <x:c r="C38" s="7" t="str">
        <x:v>yes</x:v>
      </x:c>
      <x:c r="D38" s="7" t="str">
        <x:v>no</x:v>
      </x:c>
      <x:c r="E38" s="7" t="str">
        <x:v>no</x:v>
      </x:c>
      <x:c r="F38" s="7" t="str">
        <x:v>Wenjia Wang</x:v>
      </x:c>
      <x:c r="G38" s="7" t="str">
        <x:v>The baseline and subsequent tailoring principles have clause support. The answer identifies mission, information types, and risk as selection factors without inventing control-family rules for all web servers. It still provides neither a system-category control-allocation method nor a template and does not explain how to address that information gap, so D=no.</x:v>
      </x:c>
      <x:c r="H38" s="8" t="str">
        <x:f t="shared" si="0">IF(OR(COUNTIFS(C38:E38,"yes")+COUNTIFS(C38:E38,"no")+COUNTIFS(C38:E38,"uncertain")&lt;&gt;3,TRIM(F38)=""),"pending",IF(COUNTIFS(C38:E38,"uncertain")&gt;0,"recorded with uncertainty","recorded"))</x:f>
        <x:v>recorded</x:v>
      </x:c>
      <x:c r="I38" s="8" t="s">
        <x:v>20</x:v>
      </x:c>
    </x:row>
    <x:row r="39" ht="48" hidden="0" customHeight="1">
      <x:c r="A39" s="2" t="s">
        <x:v>36</x:v>
      </x:c>
      <x:c r="B39" s="2" t="s">
        <x:v>19</x:v>
      </x:c>
      <x:c r="C39" s="7" t="str">
        <x:v>yes</x:v>
      </x:c>
      <x:c r="D39" s="7" t="str">
        <x:v>no</x:v>
      </x:c>
      <x:c r="E39" s="7" t="str">
        <x:v>no</x:v>
      </x:c>
      <x:c r="F39" s="7" t="str">
        <x:v>Wenjia Wang</x:v>
      </x:c>
      <x:c r="G39" s="7" t="str">
        <x:v>The clause library lacks the requested system-category allocation template. NO_EVIDENCE avoids an unsupported list of web-server controls and is acceptable in scope. The empty answer does not explain the limitation, suggest a method, or identify the system information needed, so D=no. There is no claim, so E=no.</x:v>
      </x:c>
      <x:c r="H39" s="8" t="str">
        <x:f t="shared" si="0">IF(OR(COUNTIFS(C39:E39,"yes")+COUNTIFS(C39:E39,"no")+COUNTIFS(C39:E39,"uncertain")&lt;&gt;3,TRIM(F39)=""),"pending",IF(COUNTIFS(C39:E39,"uncertain")&gt;0,"recorded with uncertainty","recorded"))</x:f>
        <x:v>recorded</x:v>
      </x:c>
      <x:c r="I39" s="8" t="s">
        <x:v>27</x:v>
      </x:c>
    </x:row>
    <x:row r="40" ht="60" hidden="0" customHeight="1">
      <x:c r="A40" s="2" t="s">
        <x:v>37</x:v>
      </x:c>
      <x:c r="B40" s="2" t="s">
        <x:v>17</x:v>
      </x:c>
      <x:c r="C40" s="7" t="str">
        <x:v>no</x:v>
      </x:c>
      <x:c r="D40" s="7" t="str">
        <x:v>no</x:v>
      </x:c>
      <x:c r="E40" s="7" t="str">
        <x:v>no</x:v>
      </x:c>
      <x:c r="F40" s="7" t="str">
        <x:v>Wenjia Wang</x:v>
      </x:c>
      <x:c r="G40" s="7" t="str">
        <x:v>The answer does not explain that AU-4 takes retention requirements rather than TB or TB per day. It omits the AU-4/AU-11 distinction, where to document tailoring rationales, and the limits of available example values, instead focusing heavily on AU-5. The four ODP requests are unnecessary for these explanations. au-05_odp.01 asks for personnel or roles but is presented as a duration. No separate implementation or legal claim was found.</x:v>
      </x:c>
      <x:c r="H40" s="8" t="str">
        <x:f t="shared" si="0">IF(OR(COUNTIFS(C40:E40,"yes")+COUNTIFS(C40:E40,"no")+COUNTIFS(C40:E40,"uncertain")&lt;&gt;3,TRIM(F40)=""),"pending",IF(COUNTIFS(C40:E40,"uncertain")&gt;0,"recorded with uncertainty","recorded"))</x:f>
        <x:v>recorded</x:v>
      </x:c>
      <x:c r="I40" s="8" t="s">
        <x:v>18</x:v>
      </x:c>
    </x:row>
    <x:row r="41" ht="60" hidden="0" customHeight="1">
      <x:c r="A41" s="2" t="s">
        <x:v>37</x:v>
      </x:c>
      <x:c r="B41" s="2" t="s">
        <x:v>19</x:v>
      </x:c>
      <x:c r="C41" s="7" t="str">
        <x:v>uncertain</x:v>
      </x:c>
      <x:c r="D41" s="7" t="str">
        <x:v>no</x:v>
      </x:c>
      <x:c r="E41" s="7" t="str">
        <x:v>no</x:v>
      </x:c>
      <x:c r="F41" s="7" t="str">
        <x:v>Wenjia Wang</x:v>
      </x:c>
      <x:c r="G41" s="7" t="str">
        <x:v>The empty answer omits parameter meaning, the AU-4/AU-11 comparison, where to record the rationale, and example sources, so D=no. There is no claim, so E=no. C remains uncertain: the context lacks AU-11/PL-2, but AU-4 supports a partial explanation. The answer gives no reason for complete abstention, so its handling of this partially answerable boundary cannot be established.</x:v>
      </x:c>
      <x:c r="H41" s="8" t="str">
        <x:f t="shared" si="0">IF(OR(COUNTIFS(C41:E41,"yes")+COUNTIFS(C41:E41,"no")+COUNTIFS(C41:E41,"uncertain")&lt;&gt;3,TRIM(F41)=""),"pending",IF(COUNTIFS(C41:E41,"uncertain")&gt;0,"recorded with uncertainty","recorded"))</x:f>
        <x:v>recorded with uncertainty</x:v>
      </x:c>
      <x:c r="I41" s="8" t="s">
        <x:v>27</x:v>
      </x:c>
    </x:row>
    <x:row r="42" ht="60" hidden="0" customHeight="1">
      <x:c r="A42" s="2" t="s">
        <x:v>38</x:v>
      </x:c>
      <x:c r="B42" s="2" t="s">
        <x:v>17</x:v>
      </x:c>
      <x:c r="C42" s="7" t="str">
        <x:v>no</x:v>
      </x:c>
      <x:c r="D42" s="7" t="str">
        <x:v>no</x:v>
      </x:c>
      <x:c r="E42" s="7" t="str">
        <x:v>no</x:v>
      </x:c>
      <x:c r="F42" s="7" t="str">
        <x:v>Wenjia Wang</x:v>
      </x:c>
      <x:c r="G42" s="7" t="str">
        <x:v>The original question asks about self-assessment procedures, interview evidence, and recording results. The answer instead gives AC-2(7) privileged-account text without the CA-2 plan/report procedure or the limits of 800-53A methods. Its irrelevant prompt also turns role- or attribute-based access schemes into positions or roles. No separate implementation or legal claim was found.</x:v>
      </x:c>
      <x:c r="H42" s="8" t="str">
        <x:f t="shared" si="0">IF(OR(COUNTIFS(C42:E42,"yes")+COUNTIFS(C42:E42,"no")+COUNTIFS(C42:E42,"uncertain")&lt;&gt;3,TRIM(F42)=""),"pending",IF(COUNTIFS(C42:E42,"uncertain")&gt;0,"recorded with uncertainty","recorded"))</x:f>
        <x:v>recorded</x:v>
      </x:c>
      <x:c r="I42" s="8" t="s">
        <x:v>18</x:v>
      </x:c>
    </x:row>
    <x:row r="43" ht="48" hidden="0" customHeight="1">
      <x:c r="A43" s="2" t="s">
        <x:v>38</x:v>
      </x:c>
      <x:c r="B43" s="2" t="s">
        <x:v>19</x:v>
      </x:c>
      <x:c r="C43" s="7" t="str">
        <x:v>yes</x:v>
      </x:c>
      <x:c r="D43" s="7" t="str">
        <x:v>no</x:v>
      </x:c>
      <x:c r="E43" s="7" t="str">
        <x:v>no</x:v>
      </x:c>
      <x:c r="F43" s="7" t="str">
        <x:v>Wenjia Wang</x:v>
      </x:c>
      <x:c r="G43" s="7" t="str">
        <x:v>Cross-checking confirmed that CA-2 appeared in upstream retrieval but did not enter this answer's context. Declining to derive a self-assessment process from unrelated materials is reasonable. The empty answer still fails to explain the missing evidence, assess the interview plan, or describe how to record findings, so D=no. There is no claim, so E=no.</x:v>
      </x:c>
      <x:c r="H43" s="8" t="str">
        <x:f t="shared" si="0">IF(OR(COUNTIFS(C43:E43,"yes")+COUNTIFS(C43:E43,"no")+COUNTIFS(C43:E43,"uncertain")&lt;&gt;3,TRIM(F43)=""),"pending",IF(COUNTIFS(C43:E43,"uncertain")&gt;0,"recorded with uncertainty","recorded"))</x:f>
        <x:v>recorded</x:v>
      </x:c>
      <x:c r="I43" s="8" t="s">
        <x:v>27</x:v>
      </x:c>
    </x:row>
    <x:row r="44" ht="60" hidden="0" customHeight="1">
      <x:c r="A44" s="2" t="s">
        <x:v>39</x:v>
      </x:c>
      <x:c r="B44" s="2" t="s">
        <x:v>17</x:v>
      </x:c>
      <x:c r="C44" s="7" t="str">
        <x:v>no</x:v>
      </x:c>
      <x:c r="D44" s="7" t="str">
        <x:v>no</x:v>
      </x:c>
      <x:c r="E44" s="7" t="str">
        <x:v>no</x:v>
      </x:c>
      <x:c r="F44" s="7" t="str">
        <x:v>Wenjia Wang</x:v>
      </x:c>
      <x:c r="G44" s="7" t="str">
        <x:v>The question asks about AC-10 concurrent sessions, actual examples, and ERP feasibility. The answer instead requires limiting privileged accounts under AC-6(5), without explaining the question or its environmental limits. The prompt asks for a daily, weekly, or monthly frequency, although ac-06.05_odp defines personnel or roles. This mismatch alone is not an implementation or legal claim.</x:v>
      </x:c>
      <x:c r="H44" s="8" t="str">
        <x:f t="shared" si="0">IF(OR(COUNTIFS(C44:E44,"yes")+COUNTIFS(C44:E44,"no")+COUNTIFS(C44:E44,"uncertain")&lt;&gt;3,TRIM(F44)=""),"pending",IF(COUNTIFS(C44:E44,"uncertain")&gt;0,"recorded with uncertainty","recorded"))</x:f>
        <x:v>recorded</x:v>
      </x:c>
      <x:c r="I44" s="8" t="s">
        <x:v>18</x:v>
      </x:c>
    </x:row>
    <x:row r="45" ht="48" hidden="0" customHeight="1">
      <x:c r="A45" s="2" t="s">
        <x:v>39</x:v>
      </x:c>
      <x:c r="B45" s="2" t="s">
        <x:v>19</x:v>
      </x:c>
      <x:c r="C45" s="7" t="str">
        <x:v>yes</x:v>
      </x:c>
      <x:c r="D45" s="7" t="str">
        <x:v>no</x:v>
      </x:c>
      <x:c r="E45" s="7" t="str">
        <x:v>no</x:v>
      </x:c>
      <x:c r="F45" s="7" t="str">
        <x:v>Wenjia Wang</x:v>
      </x:c>
      <x:c r="G45" s="7" t="str">
        <x:v>The retrieved AC-10 text did not enter this answer's context. NO_EVIDENCE avoids inventing concurrent-session conclusions from unrelated privileged-account clauses and is acceptable in scope. The final empty answer does not explain the control, provide examples, or discuss the information needed to assess ERP feasibility, so D=no. There is no claim, so E=no.</x:v>
      </x:c>
      <x:c r="H45" s="8" t="str">
        <x:f t="shared" si="0">IF(OR(COUNTIFS(C45:E45,"yes")+COUNTIFS(C45:E45,"no")+COUNTIFS(C45:E45,"uncertain")&lt;&gt;3,TRIM(F45)=""),"pending",IF(COUNTIFS(C45:E45,"uncertain")&gt;0,"recorded with uncertainty","recorded"))</x:f>
        <x:v>recorded</x:v>
      </x:c>
      <x:c r="I45" s="8" t="s">
        <x:v>27</x:v>
      </x:c>
    </x:row>
    <x:row r="46" ht="60" hidden="0" customHeight="1">
      <x:c r="A46" s="2" t="s">
        <x:v>40</x:v>
      </x:c>
      <x:c r="B46" s="2" t="s">
        <x:v>17</x:v>
      </x:c>
      <x:c r="C46" s="7" t="str">
        <x:v>no</x:v>
      </x:c>
      <x:c r="D46" s="7" t="str">
        <x:v>no</x:v>
      </x:c>
      <x:c r="E46" s="7" t="str">
        <x:v>no</x:v>
      </x:c>
      <x:c r="F46" s="7" t="str">
        <x:v>Wenjia Wang</x:v>
      </x:c>
      <x:c r="G46" s="7" t="str">
        <x:v>The answer gives isolated AC-2 fragments. It does not explain the roles of policy, procedures, and the SSP, assess whether restating controls is sufficient, or identify the need for separate FedRAMP acceptance authority. Notification deadlines for termination, transfer, or changes in use are irrelevant to this conceptual question, so those requests do not fill the omissions. It does not directly guarantee that a policy will pass review, so E=no.</x:v>
      </x:c>
      <x:c r="H46" s="8" t="str">
        <x:f t="shared" si="0">IF(OR(COUNTIFS(C46:E46,"yes")+COUNTIFS(C46:E46,"no")+COUNTIFS(C46:E46,"uncertain")&lt;&gt;3,TRIM(F46)=""),"pending",IF(COUNTIFS(C46:E46,"uncertain")&gt;0,"recorded with uncertainty","recorded"))</x:f>
        <x:v>recorded</x:v>
      </x:c>
      <x:c r="I46" s="8" t="s">
        <x:v>18</x:v>
      </x:c>
    </x:row>
    <x:row r="47" ht="60" hidden="0" customHeight="1">
      <x:c r="A47" s="2" t="s">
        <x:v>40</x:v>
      </x:c>
      <x:c r="B47" s="2" t="s">
        <x:v>19</x:v>
      </x:c>
      <x:c r="C47" s="7" t="str">
        <x:v>uncertain</x:v>
      </x:c>
      <x:c r="D47" s="7" t="str">
        <x:v>no</x:v>
      </x:c>
      <x:c r="E47" s="7" t="str">
        <x:v>no</x:v>
      </x:c>
      <x:c r="F47" s="7" t="str">
        <x:v>Wenjia Wang</x:v>
      </x:c>
      <x:c r="G47" s="7" t="str">
        <x:v>The empty answer addresses neither the two policy-writing approaches, the relationships among the documents, nor the need for internal rules, so D=no. There is no claim, so E=no. C remains uncertain: key AC-1/PL-2 text did not enter the context, but AC-2 supports a partial account-type explanation. Complete abstention without a scope explanation does not establish appropriate handling of that boundary.</x:v>
      </x:c>
      <x:c r="H47" s="8" t="str">
        <x:f t="shared" si="0">IF(OR(COUNTIFS(C47:E47,"yes")+COUNTIFS(C47:E47,"no")+COUNTIFS(C47:E47,"uncertain")&lt;&gt;3,TRIM(F47)=""),"pending",IF(COUNTIFS(C47:E47,"uncertain")&gt;0,"recorded with uncertainty","recorded"))</x:f>
        <x:v>recorded with uncertainty</x:v>
      </x:c>
      <x:c r="I47" s="8" t="s">
        <x:v>27</x:v>
      </x:c>
    </x:row>
    <x:row r="48" ht="60" hidden="0" customHeight="1">
      <x:c r="A48" s="2" t="s">
        <x:v>41</x:v>
      </x:c>
      <x:c r="B48" s="2" t="s">
        <x:v>17</x:v>
      </x:c>
      <x:c r="C48" s="7" t="str">
        <x:v>yes</x:v>
      </x:c>
      <x:c r="D48" s="7" t="str">
        <x:v>no</x:v>
      </x:c>
      <x:c r="E48" s="7" t="str">
        <x:v>no</x:v>
      </x:c>
      <x:c r="F48" s="7" t="str">
        <x:v>Wenjia Wang</x:v>
      </x:c>
      <x:c r="G48" s="7" t="str">
        <x:v>The answer cites only AC-2(5) and its existing guidance without independently claiming that locking satisfies logout requirements. However, it copies an ambiguous AC-11 cross-reference and does not explain locking versus logout or whether logout is required at the end of each workday. The ODP for actual logout triggers is unnecessary for explaining that distinction. The additional request does not supply the missing explanation.</x:v>
      </x:c>
      <x:c r="H48" s="8" t="str">
        <x:f t="shared" si="0">IF(OR(COUNTIFS(C48:E48,"yes")+COUNTIFS(C48:E48,"no")+COUNTIFS(C48:E48,"uncertain")&lt;&gt;3,TRIM(F48)=""),"pending",IF(COUNTIFS(C48:E48,"uncertain")&gt;0,"recorded with uncertainty","recorded"))</x:f>
        <x:v>recorded</x:v>
      </x:c>
      <x:c r="I48" s="8" t="s">
        <x:v>18</x:v>
      </x:c>
    </x:row>
    <x:row r="49" ht="72" hidden="0" customHeight="1">
      <x:c r="A49" s="2" t="s">
        <x:v>41</x:v>
      </x:c>
      <x:c r="B49" s="2" t="s">
        <x:v>19</x:v>
      </x:c>
      <x:c r="C49" s="7" t="str">
        <x:v>yes</x:v>
      </x:c>
      <x:c r="D49" s="7" t="str">
        <x:v>yes</x:v>
      </x:c>
      <x:c r="E49" s="7" t="str">
        <x:v>no</x:v>
      </x:c>
      <x:c r="F49" s="7" t="str">
        <x:v>Wenjia Wang</x:v>
      </x:c>
      <x:c r="G49" s="7" t="str">
        <x:v>The answer clearly requires logout under organization-defined expected inactivity conditions and explains that locking alone cannot substitute for logout. It addresses the question's central choice without claiming a universal end-of-workday logout requirement. The incomplete AC-11 citation and unexplained cross-reference ambiguity concern evidence completeness. Runtime failure is counted separately and does not invalidate this text's core explanation.</x:v>
      </x:c>
      <x:c r="H49" s="8" t="str">
        <x:f t="shared" si="0">IF(OR(COUNTIFS(C49:E49,"yes")+COUNTIFS(C49:E49,"no")+COUNTIFS(C49:E49,"uncertain")&lt;&gt;3,TRIM(F49)=""),"pending",IF(COUNTIFS(C49:E49,"uncertain")&gt;0,"recorded with uncertainty","recorded"))</x:f>
        <x:v>recorded</x:v>
      </x:c>
      <x:c r="I49" s="8" t="s">
        <x:v>20</x:v>
      </x:c>
    </x:row>
  </x:sheetData>
  <x:conditionalFormatting sqref="H10:H49">
    <x:cfRule type="expression" dxfId="0" priority="1">
      <x:formula>H10="recorded with uncertainty"</x:formula>
    </x:cfRule>
  </x:conditionalFormatting>
  <x:dataValidations count="1">
    <x:dataValidation type="list" sqref="C10:E49">
      <x:formula1>"yes,no,uncertain"</x:formula1>
    </x:dataValidation>
  </x:dataValidations>
  <x:pageMargins left="0.7" right="0.7" top="0.75" bottom="0.75" header="0.3" footer="0.3"/>
  <x:tableParts count="1">
    <x:tablePart xmlns:r="http://schemas.openxmlformats.org/officeDocument/2006/relationships" r:id="Rb9aa0493213b47f1"/>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baseColWidth="10" defaultColWidth="8.83203125" defaultRowHeight="15"/>
  <x:cols>
    <x:col min="1" max="1" width="8.83203125" customWidth="1"/>
    <x:col min="2" max="2" width="43.33203125" customWidth="1"/>
    <x:col min="3" max="3" width="11.1640625" customWidth="1"/>
    <x:col min="4" max="4" width="13.33203125" customWidth="1"/>
    <x:col min="5" max="5" width="27.83203125" customWidth="1"/>
    <x:col min="6" max="6" width="38.83203125" customWidth="1"/>
    <x:col min="7" max="7" width="48.83203125" customWidth="1"/>
  </x:cols>
  <x:sheetData>
    <x:row r="1">
      <x:c r="A1" s="2"/>
      <x:c r="B1" s="2"/>
      <x:c r="C1" s="2"/>
      <x:c r="D1" s="2"/>
      <x:c r="E1" s="2"/>
      <x:c r="F1" s="2"/>
      <x:c r="G1" s="2"/>
    </x:row>
    <x:row r="2" ht="18">
      <x:c r="A2" s="3" t="s">
        <x:v>42</x:v>
      </x:c>
      <x:c r="B2" s="1"/>
      <x:c r="C2" s="1"/>
      <x:c r="D2" s="1"/>
      <x:c r="E2" s="1"/>
      <x:c r="F2" s="1"/>
      <x:c r="G2" s="1"/>
    </x:row>
    <x:row r="3">
      <x:c r="A3" s="1" t="s">
        <x:v>43</x:v>
      </x:c>
      <x:c r="B3" s="1"/>
      <x:c r="C3" s="1"/>
      <x:c r="D3" s="1"/>
      <x:c r="E3" s="1"/>
      <x:c r="F3" s="1"/>
      <x:c r="G3" s="1"/>
    </x:row>
    <x:row r="4" ht="41.25" customHeight="1">
      <x:c r="A4" s="6" t="s">
        <x:v>7</x:v>
      </x:c>
      <x:c r="B4" s="6" t="s">
        <x:v>44</x:v>
      </x:c>
      <x:c r="C4" s="6" t="s">
        <x:v>45</x:v>
      </x:c>
      <x:c r="D4" s="6" t="s">
        <x:v>46</x:v>
      </x:c>
      <x:c r="E4" s="6" t="s">
        <x:v>47</x:v>
      </x:c>
      <x:c r="F4" s="6" t="s">
        <x:v>48</x:v>
      </x:c>
      <x:c r="G4" s="6" t="s">
        <x:v>49</x:v>
      </x:c>
    </x:row>
    <x:row r="5" ht="55.5" customHeight="1">
      <x:c r="A5" s="2" t="s">
        <x:v>16</x:v>
      </x:c>
      <x:c r="B5" s="2" t="s">
        <x:v>50</x:v>
      </x:c>
      <x:c r="C5" s="2" t="s">
        <x:v>51</x:v>
      </x:c>
      <x:c r="D5" s="2" t="s">
        <x:v>52</x:v>
      </x:c>
      <x:c r="E5" s="2" t="s">
        <x:v>53</x:v>
      </x:c>
      <x:c r="F5" s="2" t="s">
        <x:v>54</x:v>
      </x:c>
      <x:c r="G5" s="2" t="s">
        <x:v>55</x:v>
      </x:c>
    </x:row>
    <x:row r="6" ht="55.5" customHeight="1">
      <x:c r="A6" s="2" t="s">
        <x:v>21</x:v>
      </x:c>
      <x:c r="B6" s="2" t="s">
        <x:v>56</x:v>
      </x:c>
      <x:c r="C6" s="2" t="s">
        <x:v>51</x:v>
      </x:c>
      <x:c r="D6" s="2" t="s">
        <x:v>52</x:v>
      </x:c>
      <x:c r="E6" s="2" t="s">
        <x:v>57</x:v>
      </x:c>
      <x:c r="F6" s="2" t="s">
        <x:v>58</x:v>
      </x:c>
      <x:c r="G6" s="2" t="s">
        <x:v>59</x:v>
      </x:c>
    </x:row>
    <x:row r="7" ht="55.5" customHeight="1">
      <x:c r="A7" s="2" t="s">
        <x:v>22</x:v>
      </x:c>
      <x:c r="B7" s="2" t="s">
        <x:v>60</x:v>
      </x:c>
      <x:c r="C7" s="2" t="s">
        <x:v>51</x:v>
      </x:c>
      <x:c r="D7" s="2" t="s">
        <x:v>52</x:v>
      </x:c>
      <x:c r="E7" s="2" t="s">
        <x:v>61</x:v>
      </x:c>
      <x:c r="F7" s="2" t="s">
        <x:v>62</x:v>
      </x:c>
      <x:c r="G7" s="2" t="s">
        <x:v>63</x:v>
      </x:c>
    </x:row>
    <x:row r="8" ht="55.5" customHeight="1">
      <x:c r="A8" s="2" t="s">
        <x:v>23</x:v>
      </x:c>
      <x:c r="B8" s="2" t="s">
        <x:v>64</x:v>
      </x:c>
      <x:c r="C8" s="2" t="s">
        <x:v>65</x:v>
      </x:c>
      <x:c r="D8" s="2" t="s">
        <x:v>52</x:v>
      </x:c>
      <x:c r="E8" s="2" t="s">
        <x:v>66</x:v>
      </x:c>
      <x:c r="F8" s="2" t="s">
        <x:v>67</x:v>
      </x:c>
      <x:c r="G8" s="2" t="s">
        <x:v>68</x:v>
      </x:c>
    </x:row>
    <x:row r="9" ht="55.5" customHeight="1">
      <x:c r="A9" s="2" t="s">
        <x:v>25</x:v>
      </x:c>
      <x:c r="B9" s="2" t="s">
        <x:v>69</x:v>
      </x:c>
      <x:c r="C9" s="2" t="s">
        <x:v>51</x:v>
      </x:c>
      <x:c r="D9" s="2" t="s">
        <x:v>52</x:v>
      </x:c>
      <x:c r="E9" s="2" t="s">
        <x:v>70</x:v>
      </x:c>
      <x:c r="F9" s="2" t="s">
        <x:v>71</x:v>
      </x:c>
      <x:c r="G9" s="2" t="s">
        <x:v>72</x:v>
      </x:c>
    </x:row>
    <x:row r="10" ht="55.5" customHeight="1">
      <x:c r="A10" s="2" t="s">
        <x:v>26</x:v>
      </x:c>
      <x:c r="B10" s="2" t="s">
        <x:v>73</x:v>
      </x:c>
      <x:c r="C10" s="2" t="s">
        <x:v>74</x:v>
      </x:c>
      <x:c r="D10" s="2" t="s">
        <x:v>75</x:v>
      </x:c>
      <x:c r="E10" s="2"/>
      <x:c r="F10" s="2" t="s">
        <x:v>76</x:v>
      </x:c>
      <x:c r="G10" s="2" t="s">
        <x:v>77</x:v>
      </x:c>
    </x:row>
    <x:row r="11" ht="55.5" customHeight="1">
      <x:c r="A11" s="2" t="s">
        <x:v>28</x:v>
      </x:c>
      <x:c r="B11" s="2" t="s">
        <x:v>78</x:v>
      </x:c>
      <x:c r="C11" s="2" t="s">
        <x:v>51</x:v>
      </x:c>
      <x:c r="D11" s="2" t="s">
        <x:v>52</x:v>
      </x:c>
      <x:c r="E11" s="2" t="s">
        <x:v>79</x:v>
      </x:c>
      <x:c r="F11" s="2" t="s">
        <x:v>80</x:v>
      </x:c>
      <x:c r="G11" s="2" t="s">
        <x:v>81</x:v>
      </x:c>
    </x:row>
    <x:row r="12" ht="55.5" customHeight="1">
      <x:c r="A12" s="2" t="s">
        <x:v>29</x:v>
      </x:c>
      <x:c r="B12" s="2" t="s">
        <x:v>82</x:v>
      </x:c>
      <x:c r="C12" s="2" t="s">
        <x:v>74</x:v>
      </x:c>
      <x:c r="D12" s="2" t="s">
        <x:v>75</x:v>
      </x:c>
      <x:c r="E12" s="2"/>
      <x:c r="F12" s="2" t="s">
        <x:v>76</x:v>
      </x:c>
      <x:c r="G12" s="2" t="s">
        <x:v>83</x:v>
      </x:c>
    </x:row>
    <x:row r="13" ht="55.5" customHeight="1">
      <x:c r="A13" s="2" t="s">
        <x:v>30</x:v>
      </x:c>
      <x:c r="B13" s="2" t="s">
        <x:v>84</x:v>
      </x:c>
      <x:c r="C13" s="2" t="s">
        <x:v>51</x:v>
      </x:c>
      <x:c r="D13" s="2" t="s">
        <x:v>85</x:v>
      </x:c>
      <x:c r="E13" s="2" t="s">
        <x:v>86</x:v>
      </x:c>
      <x:c r="F13" s="2" t="s">
        <x:v>87</x:v>
      </x:c>
      <x:c r="G13" s="2" t="s">
        <x:v>88</x:v>
      </x:c>
    </x:row>
    <x:row r="14" ht="55.5" customHeight="1">
      <x:c r="A14" s="2" t="s">
        <x:v>31</x:v>
      </x:c>
      <x:c r="B14" s="2" t="s">
        <x:v>89</x:v>
      </x:c>
      <x:c r="C14" s="2" t="s">
        <x:v>74</x:v>
      </x:c>
      <x:c r="D14" s="2" t="s">
        <x:v>75</x:v>
      </x:c>
      <x:c r="E14" s="2"/>
      <x:c r="F14" s="2" t="s">
        <x:v>76</x:v>
      </x:c>
      <x:c r="G14" s="2" t="s">
        <x:v>90</x:v>
      </x:c>
    </x:row>
    <x:row r="15" ht="55.5" customHeight="1">
      <x:c r="A15" s="2" t="s">
        <x:v>32</x:v>
      </x:c>
      <x:c r="B15" s="2" t="s">
        <x:v>91</x:v>
      </x:c>
      <x:c r="C15" s="2" t="s">
        <x:v>65</x:v>
      </x:c>
      <x:c r="D15" s="2" t="s">
        <x:v>52</x:v>
      </x:c>
      <x:c r="E15" s="2" t="s">
        <x:v>92</x:v>
      </x:c>
      <x:c r="F15" s="2" t="s">
        <x:v>93</x:v>
      </x:c>
      <x:c r="G15" s="2" t="s">
        <x:v>94</x:v>
      </x:c>
    </x:row>
    <x:row r="16" ht="55.5" customHeight="1">
      <x:c r="A16" s="2" t="s">
        <x:v>33</x:v>
      </x:c>
      <x:c r="B16" s="2" t="s">
        <x:v>95</x:v>
      </x:c>
      <x:c r="C16" s="2" t="s">
        <x:v>51</x:v>
      </x:c>
      <x:c r="D16" s="2" t="s">
        <x:v>85</x:v>
      </x:c>
      <x:c r="E16" s="2" t="s">
        <x:v>96</x:v>
      </x:c>
      <x:c r="F16" s="2" t="s">
        <x:v>97</x:v>
      </x:c>
      <x:c r="G16" s="2" t="s">
        <x:v>98</x:v>
      </x:c>
    </x:row>
    <x:row r="17" ht="55.5" customHeight="1">
      <x:c r="A17" s="2" t="s">
        <x:v>34</x:v>
      </x:c>
      <x:c r="B17" s="2" t="s">
        <x:v>99</x:v>
      </x:c>
      <x:c r="C17" s="2" t="s">
        <x:v>74</x:v>
      </x:c>
      <x:c r="D17" s="2" t="s">
        <x:v>75</x:v>
      </x:c>
      <x:c r="E17" s="2"/>
      <x:c r="F17" s="2" t="s">
        <x:v>76</x:v>
      </x:c>
      <x:c r="G17" s="2" t="s">
        <x:v>100</x:v>
      </x:c>
    </x:row>
    <x:row r="18" ht="55.5" customHeight="1">
      <x:c r="A18" s="2" t="s">
        <x:v>35</x:v>
      </x:c>
      <x:c r="B18" s="2" t="s">
        <x:v>101</x:v>
      </x:c>
      <x:c r="C18" s="2" t="s">
        <x:v>51</x:v>
      </x:c>
      <x:c r="D18" s="2" t="s">
        <x:v>52</x:v>
      </x:c>
      <x:c r="E18" s="2" t="s">
        <x:v>102</x:v>
      </x:c>
      <x:c r="F18" s="2" t="s">
        <x:v>103</x:v>
      </x:c>
      <x:c r="G18" s="2" t="s">
        <x:v>104</x:v>
      </x:c>
    </x:row>
    <x:row r="19" ht="55.5" customHeight="1">
      <x:c r="A19" s="2" t="s">
        <x:v>36</x:v>
      </x:c>
      <x:c r="B19" s="2" t="s">
        <x:v>105</x:v>
      </x:c>
      <x:c r="C19" s="2" t="s">
        <x:v>74</x:v>
      </x:c>
      <x:c r="D19" s="2" t="s">
        <x:v>75</x:v>
      </x:c>
      <x:c r="E19" s="2"/>
      <x:c r="F19" s="2" t="s">
        <x:v>76</x:v>
      </x:c>
      <x:c r="G19" s="2" t="s">
        <x:v>106</x:v>
      </x:c>
    </x:row>
    <x:row r="20" ht="55.5" customHeight="1">
      <x:c r="A20" s="2" t="s">
        <x:v>37</x:v>
      </x:c>
      <x:c r="B20" s="2" t="s">
        <x:v>107</x:v>
      </x:c>
      <x:c r="C20" s="2" t="s">
        <x:v>51</x:v>
      </x:c>
      <x:c r="D20" s="2" t="s">
        <x:v>52</x:v>
      </x:c>
      <x:c r="E20" s="2" t="s">
        <x:v>108</x:v>
      </x:c>
      <x:c r="F20" s="2" t="s">
        <x:v>109</x:v>
      </x:c>
      <x:c r="G20" s="2" t="s">
        <x:v>110</x:v>
      </x:c>
    </x:row>
    <x:row r="21" ht="55.5" customHeight="1">
      <x:c r="A21" s="2" t="s">
        <x:v>38</x:v>
      </x:c>
      <x:c r="B21" s="2" t="s">
        <x:v>111</x:v>
      </x:c>
      <x:c r="C21" s="2" t="s">
        <x:v>51</x:v>
      </x:c>
      <x:c r="D21" s="2" t="s">
        <x:v>52</x:v>
      </x:c>
      <x:c r="E21" s="2" t="s">
        <x:v>112</x:v>
      </x:c>
      <x:c r="F21" s="2" t="s">
        <x:v>113</x:v>
      </x:c>
      <x:c r="G21" s="2" t="s">
        <x:v>114</x:v>
      </x:c>
    </x:row>
    <x:row r="22" ht="55.5" customHeight="1">
      <x:c r="A22" s="2" t="s">
        <x:v>39</x:v>
      </x:c>
      <x:c r="B22" s="2" t="s">
        <x:v>115</x:v>
      </x:c>
      <x:c r="C22" s="2" t="s">
        <x:v>51</x:v>
      </x:c>
      <x:c r="D22" s="2" t="s">
        <x:v>52</x:v>
      </x:c>
      <x:c r="E22" s="2" t="s">
        <x:v>116</x:v>
      </x:c>
      <x:c r="F22" s="2" t="s">
        <x:v>117</x:v>
      </x:c>
      <x:c r="G22" s="2" t="s">
        <x:v>118</x:v>
      </x:c>
    </x:row>
    <x:row r="23" ht="55.5" customHeight="1">
      <x:c r="A23" s="2" t="s">
        <x:v>40</x:v>
      </x:c>
      <x:c r="B23" s="2" t="s">
        <x:v>119</x:v>
      </x:c>
      <x:c r="C23" s="2" t="s">
        <x:v>51</x:v>
      </x:c>
      <x:c r="D23" s="2" t="s">
        <x:v>52</x:v>
      </x:c>
      <x:c r="E23" s="2" t="s">
        <x:v>120</x:v>
      </x:c>
      <x:c r="F23" s="2" t="s">
        <x:v>121</x:v>
      </x:c>
      <x:c r="G23" s="2" t="s">
        <x:v>122</x:v>
      </x:c>
    </x:row>
    <x:row r="24" ht="55.5" customHeight="1">
      <x:c r="A24" s="2" t="s">
        <x:v>41</x:v>
      </x:c>
      <x:c r="B24" s="2" t="s">
        <x:v>123</x:v>
      </x:c>
      <x:c r="C24" s="2" t="s">
        <x:v>65</x:v>
      </x:c>
      <x:c r="D24" s="2" t="s">
        <x:v>52</x:v>
      </x:c>
      <x:c r="E24" s="2" t="s">
        <x:v>124</x:v>
      </x:c>
      <x:c r="F24" s="2" t="s">
        <x:v>125</x:v>
      </x:c>
      <x:c r="G24" s="2" t="s">
        <x:v>126</x:v>
      </x:c>
    </x:row>
  </x:sheetData>
  <x:pageMargins left="0.7" right="0.7" top="0.75" bottom="0.75" header="0.3" footer="0.3"/>
  <x:tableParts count="1">
    <x:tablePart xmlns:r="http://schemas.openxmlformats.org/officeDocument/2006/relationships" r:id="R621725c7787b4cba"/>
  </x:tableParts>
</x:worksheet>
</file>